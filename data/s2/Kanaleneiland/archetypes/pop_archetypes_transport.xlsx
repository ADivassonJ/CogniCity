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2\Kanaleneiland\archetypes\"/>
    </mc:Choice>
  </mc:AlternateContent>
  <xr:revisionPtr revIDLastSave="0" documentId="13_ncr:1_{BC9BD3BA-B78A-43C2-91AC-DB76EA1889D7}" xr6:coauthVersionLast="47" xr6:coauthVersionMax="47" xr10:uidLastSave="{00000000-0000-0000-0000-000000000000}"/>
  <bookViews>
    <workbookView xWindow="5760" yWindow="2136" windowWidth="17280" windowHeight="996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9" i="1" l="1"/>
  <c r="O9" i="1"/>
  <c r="P8" i="1"/>
  <c r="O8" i="1"/>
  <c r="P7" i="1"/>
  <c r="O7" i="1"/>
  <c r="V9" i="1"/>
  <c r="U9" i="1"/>
  <c r="V7" i="1"/>
  <c r="U7" i="1"/>
  <c r="M9" i="1"/>
  <c r="M7" i="1"/>
  <c r="N9" i="1"/>
  <c r="N7" i="1"/>
  <c r="T8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<sst xmlns="http://schemas.openxmlformats.org/spreadsheetml/2006/main" count="78" uniqueCount="43">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</sst>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vertical="center" wrapText="1"/>
    </xf>
    <xf numFmtId="164" fontId="0" fillId="3" borderId="0" xfId="0" applyNumberFormat="1" applyFill="1" applyAlignment="1">
      <alignment vertical="center" wrapText="1"/>
    </xf>
    <xf numFmtId="164" fontId="0" fillId="3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topLeftCell="I1" zoomScale="170" zoomScaleNormal="170" workbookViewId="0">
      <selection activeCell="O4" sqref="O4:O5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0" t="s">
        <v>22</v>
      </c>
      <c r="V1" s="10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2">
        <v>0</v>
      </c>
      <c r="L2" s="2">
        <v>0</v>
      </c>
      <c r="M2">
        <v>0</v>
      </c>
      <c r="N2">
        <v>0</v>
      </c>
      <c r="O2" s="11">
        <v>0</v>
      </c>
      <c r="P2" s="11">
        <v>0</v>
      </c>
      <c r="Q2" s="5">
        <v>0</v>
      </c>
      <c r="R2" s="5">
        <v>0</v>
      </c>
      <c r="S2" s="8">
        <v>0</v>
      </c>
      <c r="T2" s="8">
        <v>0</v>
      </c>
      <c r="U2" s="14">
        <v>0</v>
      </c>
      <c r="V2" s="14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2">
        <v>5.8999999999999997E-2</v>
      </c>
      <c r="L3" s="2">
        <v>0</v>
      </c>
      <c r="M3" s="2">
        <v>62.984000000000002</v>
      </c>
      <c r="N3" s="2">
        <v>2.94</v>
      </c>
      <c r="O3" s="12">
        <v>2.6709999999999998</v>
      </c>
      <c r="P3" s="12">
        <v>0.13800000000000001</v>
      </c>
      <c r="Q3" s="6">
        <v>9999</v>
      </c>
      <c r="R3" s="5">
        <v>0</v>
      </c>
      <c r="S3" s="8">
        <v>0</v>
      </c>
      <c r="T3" s="8">
        <v>0</v>
      </c>
      <c r="U3" s="14">
        <v>131.40600000000001</v>
      </c>
      <c r="V3" s="14">
        <v>47.3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2">
        <v>9.7000000000000003E-2</v>
      </c>
      <c r="L4" s="2">
        <v>0</v>
      </c>
      <c r="M4">
        <v>0</v>
      </c>
      <c r="N4">
        <v>0</v>
      </c>
      <c r="O4" s="12">
        <v>0.63349999999999995</v>
      </c>
      <c r="P4" s="12">
        <v>5.6000000000000001E-2</v>
      </c>
      <c r="Q4" s="6">
        <v>9999</v>
      </c>
      <c r="R4" s="5">
        <v>0</v>
      </c>
      <c r="S4" s="9">
        <f>O4*0.5</f>
        <v>0.31674999999999998</v>
      </c>
      <c r="T4" s="9">
        <f>P4*0.5</f>
        <v>2.8000000000000001E-2</v>
      </c>
      <c r="U4" s="14">
        <v>0</v>
      </c>
      <c r="V4" s="14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2">
        <v>5.8999999999999997E-2</v>
      </c>
      <c r="L5" s="2">
        <v>0</v>
      </c>
      <c r="M5" s="2">
        <v>53.112000000000002</v>
      </c>
      <c r="N5" s="2">
        <v>3.9049999999999998</v>
      </c>
      <c r="O5" s="12">
        <v>1.6359999999999999</v>
      </c>
      <c r="P5" s="12">
        <v>0.17799999999999999</v>
      </c>
      <c r="Q5" s="6">
        <v>9999</v>
      </c>
      <c r="R5" s="5">
        <v>0</v>
      </c>
      <c r="S5" s="8">
        <v>0</v>
      </c>
      <c r="T5" s="8">
        <v>0</v>
      </c>
      <c r="U5" s="14">
        <v>111.25</v>
      </c>
      <c r="V5" s="14">
        <v>47.622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2">
        <v>0.05</v>
      </c>
      <c r="L6" s="2">
        <v>0</v>
      </c>
      <c r="M6" s="2">
        <v>43.322000000000003</v>
      </c>
      <c r="N6" s="2">
        <v>2.206</v>
      </c>
      <c r="O6" s="12">
        <v>1.9750000000000001</v>
      </c>
      <c r="P6" s="12">
        <v>0.20399999999999999</v>
      </c>
      <c r="Q6" s="6">
        <v>9999</v>
      </c>
      <c r="R6" s="5">
        <v>0</v>
      </c>
      <c r="S6" s="8">
        <v>0</v>
      </c>
      <c r="T6" s="8">
        <v>0</v>
      </c>
      <c r="U6" s="14">
        <v>27.818000000000001</v>
      </c>
      <c r="V6" s="14">
        <v>50.091000000000001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2">
        <v>1.7</v>
      </c>
      <c r="L7" s="2">
        <v>0</v>
      </c>
      <c r="M7" s="7">
        <f>293.323/30</f>
        <v>9.7774333333333328</v>
      </c>
      <c r="N7" s="7">
        <f>38.284/30</f>
        <v>1.2761333333333333</v>
      </c>
      <c r="O7" s="13">
        <f>8.911/30</f>
        <v>0.29703333333333332</v>
      </c>
      <c r="P7" s="13">
        <f>3.4925/30</f>
        <v>0.11641666666666667</v>
      </c>
      <c r="Q7" s="6">
        <v>9999</v>
      </c>
      <c r="R7" s="5">
        <v>0</v>
      </c>
      <c r="S7" s="8">
        <v>0</v>
      </c>
      <c r="T7" s="8">
        <v>0</v>
      </c>
      <c r="U7" s="14">
        <f>525.4055/30</f>
        <v>17.513516666666664</v>
      </c>
      <c r="V7" s="14">
        <f>306.889/30</f>
        <v>10.229633333333334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2">
        <v>1.7</v>
      </c>
      <c r="L8" s="2">
        <v>0</v>
      </c>
      <c r="M8">
        <v>0</v>
      </c>
      <c r="N8">
        <v>0</v>
      </c>
      <c r="O8" s="12">
        <f>4.2125/30</f>
        <v>0.14041666666666669</v>
      </c>
      <c r="P8" s="12">
        <f>2.223/30</f>
        <v>7.4099999999999999E-2</v>
      </c>
      <c r="Q8" s="6">
        <v>9999</v>
      </c>
      <c r="R8" s="5">
        <v>0</v>
      </c>
      <c r="S8" s="9">
        <f>O8*0.5</f>
        <v>7.0208333333333345E-2</v>
      </c>
      <c r="T8" s="9">
        <f>P8*0.5</f>
        <v>3.705E-2</v>
      </c>
      <c r="U8" s="14">
        <v>0</v>
      </c>
      <c r="V8" s="14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2">
        <v>1.7</v>
      </c>
      <c r="L9" s="2">
        <v>0</v>
      </c>
      <c r="M9" s="7">
        <f>357.554/30</f>
        <v>11.918466666666665</v>
      </c>
      <c r="N9" s="7">
        <f>68.396/30</f>
        <v>2.2798666666666665</v>
      </c>
      <c r="O9" s="13">
        <f>12.258/30</f>
        <v>0.40859999999999996</v>
      </c>
      <c r="P9" s="13">
        <f>5.555/30</f>
        <v>0.18516666666666665</v>
      </c>
      <c r="Q9" s="6">
        <v>9999</v>
      </c>
      <c r="R9" s="5">
        <v>0</v>
      </c>
      <c r="S9" s="8">
        <v>0</v>
      </c>
      <c r="T9" s="8">
        <v>0</v>
      </c>
      <c r="U9" s="14">
        <f>257.1525/30</f>
        <v>8.5717499999999998</v>
      </c>
      <c r="V9" s="14">
        <f>364.766/30</f>
        <v>12.158866666666666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>
        <v>0</v>
      </c>
      <c r="M10" s="2">
        <v>0</v>
      </c>
      <c r="N10" s="2">
        <v>0</v>
      </c>
      <c r="O10" s="2">
        <v>0.83899999999999997</v>
      </c>
      <c r="P10" s="2">
        <v>5.6000000000000001E-2</v>
      </c>
      <c r="Q10" s="6">
        <v>9999</v>
      </c>
      <c r="R10" s="5">
        <v>0</v>
      </c>
      <c r="S10">
        <v>0.41949999999999998</v>
      </c>
      <c r="T10">
        <v>2.8000000000000001E-2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2026-02-15T22:00:43Z</dcterms:modified>
</cp:coreProperties>
</file>