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2\Kanaleneiland\archetypes\"/>
    </mc:Choice>
  </mc:AlternateContent>
  <xr:revisionPtr revIDLastSave="0" documentId="13_ncr:1_{4F928ED5-2251-4DE0-82A5-E6E563077BDA}" xr6:coauthVersionLast="47" xr6:coauthVersionMax="47" xr10:uidLastSave="{00000000-0000-0000-0000-000000000000}"/>
  <bookViews>
    <workbookView xWindow="28680" yWindow="855" windowWidth="25440" windowHeight="1527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7" i="1" l="1"/>
  <c r="U7" i="1"/>
  <c r="P8" i="1"/>
  <c r="T8" i="1" s="1"/>
  <c r="P7" i="1"/>
  <c r="O8" i="1"/>
  <c r="S8" i="1" s="1"/>
  <c r="O7" i="1"/>
  <c r="K8" i="1"/>
  <c r="K9" i="1"/>
  <c r="K7" i="1"/>
  <c r="M9" i="1"/>
  <c r="M7" i="1"/>
  <c r="N9" i="1"/>
  <c r="N7" i="1"/>
  <c r="T4" i="1"/>
  <c r="S4" i="1"/>
</calcChain>
</file>

<file path=xl/sharedStrings.xml><?xml version="1.0" encoding="utf-8"?>
<sst xmlns="http://schemas.openxmlformats.org/spreadsheetml/2006/main" count="78" uniqueCount="43">
  <si>
    <t>name</t>
  </si>
  <si>
    <t>walk</t>
  </si>
  <si>
    <t>v_mu</t>
  </si>
  <si>
    <t>v_sigma</t>
  </si>
  <si>
    <t>Emin_mu</t>
  </si>
  <si>
    <t>Emin_sigma</t>
  </si>
  <si>
    <t>map</t>
  </si>
  <si>
    <t>drive</t>
  </si>
  <si>
    <t>state</t>
  </si>
  <si>
    <t>active</t>
  </si>
  <si>
    <t>inactive</t>
  </si>
  <si>
    <t>SoC_mu</t>
  </si>
  <si>
    <t>SoC_sigma</t>
  </si>
  <si>
    <t>SoC_min</t>
  </si>
  <si>
    <t>SoC_max</t>
  </si>
  <si>
    <t>type</t>
  </si>
  <si>
    <t>public</t>
  </si>
  <si>
    <t>private</t>
  </si>
  <si>
    <t>fuelkm_mu</t>
  </si>
  <si>
    <t>fuelkm_sigma</t>
  </si>
  <si>
    <t>mjkm_mu</t>
  </si>
  <si>
    <t>mjkm_sigma</t>
  </si>
  <si>
    <t>CO2km_mu</t>
  </si>
  <si>
    <t>CO2km_sigma</t>
  </si>
  <si>
    <t>PC_diesel</t>
  </si>
  <si>
    <t>PC_electric</t>
  </si>
  <si>
    <t>PC_petrol</t>
  </si>
  <si>
    <t>PC_CNG</t>
  </si>
  <si>
    <t>UB_diesel</t>
  </si>
  <si>
    <t>UB_electric</t>
  </si>
  <si>
    <t>UB_CNG</t>
  </si>
  <si>
    <t>P1</t>
  </si>
  <si>
    <t>P2</t>
  </si>
  <si>
    <t>P1s</t>
  </si>
  <si>
    <t>P2s</t>
  </si>
  <si>
    <t>public_transportation</t>
  </si>
  <si>
    <t>private_transportation</t>
  </si>
  <si>
    <t>charging_station</t>
  </si>
  <si>
    <t>mjkm_max</t>
  </si>
  <si>
    <t>mjkm_min</t>
  </si>
  <si>
    <t>price_mu</t>
  </si>
  <si>
    <t>price_sigma</t>
  </si>
  <si>
    <t>CS_electric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</si>
</sst>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topLeftCell="K1" zoomScale="170" zoomScaleNormal="170" workbookViewId="0">
      <selection activeCell="O12" sqref="O12"/>
    </sheetView>
  </sheetViews>
  <sheetFormatPr baseColWidth="10" defaultColWidth="8.88671875" defaultRowHeight="14.4" x14ac:dyDescent="0.3"/>
  <cols>
    <col min="1" max="1" width="10.77734375" bestFit="1" customWidth="1"/>
    <col min="2" max="3" width="10.77734375" customWidth="1"/>
    <col min="5" max="6" width="4" bestFit="1" customWidth="1"/>
    <col min="7" max="8" width="4" customWidth="1"/>
    <col min="9" max="9" width="6.5546875" bestFit="1" customWidth="1"/>
    <col min="10" max="10" width="7.88671875" bestFit="1" customWidth="1"/>
    <col min="11" max="12" width="7.88671875" customWidth="1"/>
    <col min="13" max="16" width="12.77734375" bestFit="1" customWidth="1"/>
    <col min="17" max="18" width="11.109375" customWidth="1"/>
    <col min="19" max="19" width="8.5546875" bestFit="1" customWidth="1"/>
    <col min="20" max="20" width="10.6640625" bestFit="1" customWidth="1"/>
    <col min="21" max="21" width="10.5546875" bestFit="1" customWidth="1"/>
    <col min="22" max="22" width="13" customWidth="1"/>
    <col min="23" max="23" width="7.88671875" bestFit="1" customWidth="1"/>
    <col min="24" max="24" width="10.109375" bestFit="1" customWidth="1"/>
    <col min="25" max="25" width="8.44140625" bestFit="1" customWidth="1"/>
    <col min="26" max="26" width="8.77734375" bestFit="1" customWidth="1"/>
    <col min="28" max="29" width="4" bestFit="1" customWidth="1"/>
  </cols>
  <sheetData>
    <row r="1" spans="1:26" x14ac:dyDescent="0.3">
      <c r="A1" t="s">
        <v>0</v>
      </c>
      <c r="B1" t="s">
        <v>8</v>
      </c>
      <c r="C1" t="s">
        <v>15</v>
      </c>
      <c r="D1" t="s">
        <v>6</v>
      </c>
      <c r="E1" t="s">
        <v>31</v>
      </c>
      <c r="F1" t="s">
        <v>32</v>
      </c>
      <c r="G1" t="s">
        <v>33</v>
      </c>
      <c r="H1" t="s">
        <v>34</v>
      </c>
      <c r="I1" t="s">
        <v>2</v>
      </c>
      <c r="J1" t="s">
        <v>3</v>
      </c>
      <c r="K1" t="s">
        <v>40</v>
      </c>
      <c r="L1" t="s">
        <v>41</v>
      </c>
      <c r="M1" t="s">
        <v>18</v>
      </c>
      <c r="N1" t="s">
        <v>19</v>
      </c>
      <c r="O1" s="1" t="s">
        <v>20</v>
      </c>
      <c r="P1" s="1" t="s">
        <v>21</v>
      </c>
      <c r="Q1" s="1" t="s">
        <v>38</v>
      </c>
      <c r="R1" s="1" t="s">
        <v>39</v>
      </c>
      <c r="S1" t="s">
        <v>4</v>
      </c>
      <c r="T1" t="s">
        <v>5</v>
      </c>
      <c r="U1" s="1" t="s">
        <v>22</v>
      </c>
      <c r="V1" s="1" t="s">
        <v>23</v>
      </c>
      <c r="W1" t="s">
        <v>11</v>
      </c>
      <c r="X1" t="s">
        <v>12</v>
      </c>
      <c r="Y1" t="s">
        <v>13</v>
      </c>
      <c r="Z1" t="s">
        <v>14</v>
      </c>
    </row>
    <row r="2" spans="1:26" x14ac:dyDescent="0.3">
      <c r="A2" t="s">
        <v>1</v>
      </c>
      <c r="B2" t="s">
        <v>9</v>
      </c>
      <c r="C2" t="s">
        <v>16</v>
      </c>
      <c r="D2" t="s">
        <v>1</v>
      </c>
      <c r="E2">
        <v>0</v>
      </c>
      <c r="F2">
        <v>0</v>
      </c>
      <c r="I2">
        <v>8.3333333333333329E-2</v>
      </c>
      <c r="J2">
        <v>1</v>
      </c>
      <c r="K2">
        <v>0</v>
      </c>
      <c r="L2">
        <v>1.0000000000000001E-5</v>
      </c>
      <c r="M2">
        <v>0</v>
      </c>
      <c r="N2">
        <v>0</v>
      </c>
      <c r="O2" s="1">
        <v>0</v>
      </c>
      <c r="P2" s="1">
        <v>0</v>
      </c>
      <c r="Q2" s="1">
        <v>0</v>
      </c>
      <c r="R2" s="1">
        <v>0</v>
      </c>
      <c r="S2">
        <v>0</v>
      </c>
      <c r="T2">
        <v>0</v>
      </c>
      <c r="U2" s="1">
        <v>0</v>
      </c>
      <c r="V2" s="1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t="s">
        <v>24</v>
      </c>
      <c r="B3" t="s">
        <v>10</v>
      </c>
      <c r="C3" t="s">
        <v>17</v>
      </c>
      <c r="D3" t="s">
        <v>7</v>
      </c>
      <c r="E3">
        <v>1</v>
      </c>
      <c r="F3">
        <v>1</v>
      </c>
      <c r="G3" t="s">
        <v>36</v>
      </c>
      <c r="H3" t="s">
        <v>36</v>
      </c>
      <c r="I3">
        <v>0.66666666666666663</v>
      </c>
      <c r="J3">
        <v>0.1</v>
      </c>
      <c r="K3" s="1">
        <v>0.05</v>
      </c>
      <c r="L3">
        <v>1.0000000000000001E-5</v>
      </c>
      <c r="M3">
        <v>62.984000000000002</v>
      </c>
      <c r="N3">
        <v>2.94</v>
      </c>
      <c r="O3" s="1">
        <v>2.6535000000000002</v>
      </c>
      <c r="P3" s="1">
        <v>0.13300000000000001</v>
      </c>
      <c r="Q3" s="1">
        <v>9999</v>
      </c>
      <c r="R3" s="1">
        <v>0</v>
      </c>
      <c r="S3">
        <v>0</v>
      </c>
      <c r="T3">
        <v>0</v>
      </c>
      <c r="U3" s="1">
        <v>177.6465</v>
      </c>
      <c r="V3" s="1">
        <v>13.9895</v>
      </c>
      <c r="W3">
        <v>0</v>
      </c>
      <c r="X3">
        <v>0</v>
      </c>
      <c r="Y3">
        <v>0</v>
      </c>
      <c r="Z3">
        <v>0</v>
      </c>
    </row>
    <row r="4" spans="1:26" x14ac:dyDescent="0.3">
      <c r="A4" t="s">
        <v>25</v>
      </c>
      <c r="B4" t="s">
        <v>9</v>
      </c>
      <c r="C4" t="s">
        <v>17</v>
      </c>
      <c r="D4" t="s">
        <v>7</v>
      </c>
      <c r="E4">
        <v>1</v>
      </c>
      <c r="F4">
        <v>1</v>
      </c>
      <c r="G4" t="s">
        <v>37</v>
      </c>
      <c r="H4" t="s">
        <v>37</v>
      </c>
      <c r="I4">
        <v>0.66666666666666663</v>
      </c>
      <c r="J4">
        <v>0.1</v>
      </c>
      <c r="K4" s="1">
        <v>0.10075000000000001</v>
      </c>
      <c r="L4">
        <v>1.0000000000000001E-5</v>
      </c>
      <c r="M4">
        <v>0</v>
      </c>
      <c r="N4">
        <v>0</v>
      </c>
      <c r="O4" s="1">
        <v>0.83299999999999996</v>
      </c>
      <c r="P4" s="1">
        <v>4.7500000000000001E-2</v>
      </c>
      <c r="Q4" s="1">
        <v>9999</v>
      </c>
      <c r="R4" s="1">
        <v>0</v>
      </c>
      <c r="S4">
        <f>O4*0.5</f>
        <v>0.41649999999999998</v>
      </c>
      <c r="T4">
        <f>P4*0.5</f>
        <v>2.375E-2</v>
      </c>
      <c r="U4" s="1">
        <v>0</v>
      </c>
      <c r="V4" s="1">
        <v>0</v>
      </c>
      <c r="W4">
        <v>80</v>
      </c>
      <c r="X4">
        <v>10</v>
      </c>
      <c r="Y4">
        <v>60</v>
      </c>
      <c r="Z4">
        <v>100</v>
      </c>
    </row>
    <row r="5" spans="1:26" x14ac:dyDescent="0.3">
      <c r="A5" t="s">
        <v>26</v>
      </c>
      <c r="B5" t="s">
        <v>9</v>
      </c>
      <c r="C5" t="s">
        <v>17</v>
      </c>
      <c r="D5" t="s">
        <v>7</v>
      </c>
      <c r="E5">
        <v>1</v>
      </c>
      <c r="F5">
        <v>1</v>
      </c>
      <c r="G5" t="s">
        <v>36</v>
      </c>
      <c r="H5" t="s">
        <v>36</v>
      </c>
      <c r="I5">
        <v>0.66666666666666663</v>
      </c>
      <c r="J5">
        <v>0.1</v>
      </c>
      <c r="K5" s="1">
        <v>0.05</v>
      </c>
      <c r="L5">
        <v>1.0000000000000001E-5</v>
      </c>
      <c r="M5">
        <v>53.112000000000002</v>
      </c>
      <c r="N5">
        <v>3.9049999999999998</v>
      </c>
      <c r="O5" s="1">
        <v>2.2280000000000002</v>
      </c>
      <c r="P5" s="1">
        <v>0.16850000000000001</v>
      </c>
      <c r="Q5" s="1">
        <v>9999</v>
      </c>
      <c r="R5" s="1">
        <v>0</v>
      </c>
      <c r="S5">
        <v>0</v>
      </c>
      <c r="T5">
        <v>0</v>
      </c>
      <c r="U5" s="1">
        <v>150.09649999999999</v>
      </c>
      <c r="V5" s="1">
        <v>20.7745</v>
      </c>
      <c r="W5">
        <v>0</v>
      </c>
      <c r="X5">
        <v>0</v>
      </c>
      <c r="Y5">
        <v>0</v>
      </c>
      <c r="Z5">
        <v>0</v>
      </c>
    </row>
    <row r="6" spans="1:26" x14ac:dyDescent="0.3">
      <c r="A6" t="s">
        <v>27</v>
      </c>
      <c r="B6" t="s">
        <v>10</v>
      </c>
      <c r="C6" t="s">
        <v>17</v>
      </c>
      <c r="D6" t="s">
        <v>7</v>
      </c>
      <c r="E6">
        <v>1</v>
      </c>
      <c r="F6">
        <v>1</v>
      </c>
      <c r="G6" t="s">
        <v>36</v>
      </c>
      <c r="H6" t="s">
        <v>36</v>
      </c>
      <c r="I6">
        <v>0.66666666666666663</v>
      </c>
      <c r="J6">
        <v>0.1</v>
      </c>
      <c r="K6">
        <v>0.05</v>
      </c>
      <c r="L6">
        <v>1.0000000000000001E-5</v>
      </c>
      <c r="M6">
        <v>43.322000000000003</v>
      </c>
      <c r="N6">
        <v>2.206</v>
      </c>
      <c r="O6" s="1">
        <v>2.032</v>
      </c>
      <c r="P6" s="1">
        <v>0.2175</v>
      </c>
      <c r="Q6" s="1">
        <v>9999</v>
      </c>
      <c r="R6" s="1">
        <v>0</v>
      </c>
      <c r="S6">
        <v>0</v>
      </c>
      <c r="T6">
        <v>0</v>
      </c>
      <c r="U6" s="1">
        <v>41.872</v>
      </c>
      <c r="V6" s="1">
        <v>60.761499999999998</v>
      </c>
      <c r="W6">
        <v>0</v>
      </c>
      <c r="X6">
        <v>0</v>
      </c>
      <c r="Y6">
        <v>0</v>
      </c>
      <c r="Z6">
        <v>0</v>
      </c>
    </row>
    <row r="7" spans="1:26" x14ac:dyDescent="0.3">
      <c r="A7" t="s">
        <v>28</v>
      </c>
      <c r="B7" t="s">
        <v>9</v>
      </c>
      <c r="C7" t="s">
        <v>16</v>
      </c>
      <c r="D7" t="s">
        <v>7</v>
      </c>
      <c r="E7">
        <v>1</v>
      </c>
      <c r="F7">
        <v>1</v>
      </c>
      <c r="G7" t="s">
        <v>35</v>
      </c>
      <c r="H7" t="s">
        <v>35</v>
      </c>
      <c r="I7">
        <v>0.66666666666666663</v>
      </c>
      <c r="J7">
        <v>0.1</v>
      </c>
      <c r="K7" s="1">
        <f>20/21*0.5</f>
        <v>0.47619047619047616</v>
      </c>
      <c r="L7">
        <v>1.0000000000000001E-5</v>
      </c>
      <c r="M7">
        <f>293.323/30</f>
        <v>9.7774333333333328</v>
      </c>
      <c r="N7">
        <f>38.284/30</f>
        <v>1.2761333333333333</v>
      </c>
      <c r="O7" s="2">
        <f>13.1245/45</f>
        <v>0.29165555555555556</v>
      </c>
      <c r="P7" s="2">
        <f>1.7305/45</f>
        <v>3.8455555555555555E-2</v>
      </c>
      <c r="Q7" s="1">
        <v>9999</v>
      </c>
      <c r="R7" s="1">
        <v>0</v>
      </c>
      <c r="S7">
        <v>0</v>
      </c>
      <c r="T7">
        <v>0</v>
      </c>
      <c r="U7" s="2">
        <f>788.65/45</f>
        <v>17.525555555555556</v>
      </c>
      <c r="V7" s="2">
        <f>283.759/45</f>
        <v>6.3057555555555558</v>
      </c>
      <c r="W7">
        <v>0</v>
      </c>
      <c r="X7">
        <v>0</v>
      </c>
      <c r="Y7">
        <v>0</v>
      </c>
      <c r="Z7">
        <v>0</v>
      </c>
    </row>
    <row r="8" spans="1:26" x14ac:dyDescent="0.3">
      <c r="A8" t="s">
        <v>29</v>
      </c>
      <c r="B8" t="s">
        <v>10</v>
      </c>
      <c r="C8" t="s">
        <v>16</v>
      </c>
      <c r="D8" t="s">
        <v>7</v>
      </c>
      <c r="E8">
        <v>1</v>
      </c>
      <c r="F8">
        <v>1</v>
      </c>
      <c r="G8" t="s">
        <v>37</v>
      </c>
      <c r="H8" t="s">
        <v>37</v>
      </c>
      <c r="I8">
        <v>0.66666666666666663</v>
      </c>
      <c r="J8">
        <v>0.1</v>
      </c>
      <c r="K8" s="1">
        <f t="shared" ref="K8:K9" si="0">20/21*0.5</f>
        <v>0.47619047619047616</v>
      </c>
      <c r="L8">
        <v>1.0000000000000001E-5</v>
      </c>
      <c r="M8">
        <v>0</v>
      </c>
      <c r="N8">
        <v>0</v>
      </c>
      <c r="O8" s="2">
        <f>5.5995/45</f>
        <v>0.12443333333333333</v>
      </c>
      <c r="P8" s="2">
        <f>1.663/45</f>
        <v>3.6955555555555554E-2</v>
      </c>
      <c r="Q8" s="1">
        <v>9999</v>
      </c>
      <c r="R8" s="1">
        <v>0</v>
      </c>
      <c r="S8">
        <f>O8*0.5</f>
        <v>6.2216666666666663E-2</v>
      </c>
      <c r="T8">
        <f>P8*0.5</f>
        <v>1.8477777777777777E-2</v>
      </c>
      <c r="U8" s="2">
        <v>0</v>
      </c>
      <c r="V8" s="2">
        <v>0</v>
      </c>
      <c r="W8">
        <v>80</v>
      </c>
      <c r="X8">
        <v>10</v>
      </c>
      <c r="Y8">
        <v>60</v>
      </c>
      <c r="Z8">
        <v>100</v>
      </c>
    </row>
    <row r="9" spans="1:26" x14ac:dyDescent="0.3">
      <c r="A9" t="s">
        <v>30</v>
      </c>
      <c r="B9" t="s">
        <v>10</v>
      </c>
      <c r="C9" t="s">
        <v>16</v>
      </c>
      <c r="D9" t="s">
        <v>7</v>
      </c>
      <c r="E9">
        <v>1</v>
      </c>
      <c r="F9">
        <v>1</v>
      </c>
      <c r="G9" t="s">
        <v>35</v>
      </c>
      <c r="H9" t="s">
        <v>35</v>
      </c>
      <c r="I9">
        <v>0.66666666666666663</v>
      </c>
      <c r="J9">
        <v>0.1</v>
      </c>
      <c r="K9" s="1">
        <f t="shared" si="0"/>
        <v>0.47619047619047616</v>
      </c>
      <c r="L9">
        <v>1.0000000000000001E-5</v>
      </c>
      <c r="M9">
        <f>357.554/30</f>
        <v>11.918466666666665</v>
      </c>
      <c r="N9">
        <f>68.396/30</f>
        <v>2.2798666666666665</v>
      </c>
      <c r="O9" s="1">
        <v>16.536999999999999</v>
      </c>
      <c r="P9" s="1">
        <v>2.5804999999999998</v>
      </c>
      <c r="Q9" s="1">
        <v>9999</v>
      </c>
      <c r="R9" s="1">
        <v>0</v>
      </c>
      <c r="S9">
        <v>0</v>
      </c>
      <c r="T9">
        <v>0</v>
      </c>
      <c r="U9" s="1">
        <v>441.87099999999998</v>
      </c>
      <c r="V9" s="1">
        <v>381.6705</v>
      </c>
      <c r="W9">
        <v>0</v>
      </c>
      <c r="X9">
        <v>0</v>
      </c>
      <c r="Y9">
        <v>0</v>
      </c>
      <c r="Z9">
        <v>0</v>
      </c>
    </row>
    <row r="10" spans="1:26" x14ac:dyDescent="0.3">
      <c r="A10" t="s">
        <v>42</v>
      </c>
      <c r="B10" t="s">
        <v>9</v>
      </c>
      <c r="C10" t="s">
        <v>17</v>
      </c>
      <c r="D10" t="s">
        <v>7</v>
      </c>
      <c r="E10">
        <v>1</v>
      </c>
      <c r="F10">
        <v>1</v>
      </c>
      <c r="G10" t="s">
        <v>37</v>
      </c>
      <c r="H10" t="s">
        <v>37</v>
      </c>
      <c r="I10">
        <v>0.66666666666666663</v>
      </c>
      <c r="J10">
        <v>0.1</v>
      </c>
      <c r="K10" s="1">
        <v>0.10075000000000001</v>
      </c>
      <c r="L10">
        <v>1.0000000000000001E-5</v>
      </c>
      <c r="M10">
        <v>0</v>
      </c>
      <c r="N10">
        <v>0</v>
      </c>
      <c r="O10" s="1">
        <v>0.83299999999999996</v>
      </c>
      <c r="P10" s="1">
        <v>4.7500000000000001E-2</v>
      </c>
      <c r="Q10" s="1">
        <v>9999</v>
      </c>
      <c r="R10" s="1">
        <v>0</v>
      </c>
      <c r="S10">
        <v>0.41949999999999998</v>
      </c>
      <c r="T10">
        <v>2.8000000000000001E-2</v>
      </c>
      <c r="U10" s="1">
        <v>0</v>
      </c>
      <c r="V10" s="1">
        <v>0</v>
      </c>
      <c r="W10">
        <v>80</v>
      </c>
      <c r="X10">
        <v>10</v>
      </c>
      <c r="Y10">
        <v>60</v>
      </c>
      <c r="Z10">
        <v>100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2026-03-18T10:38:36Z</dcterms:modified>
</cp:coreProperties>
</file>