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base_scenario\archetypes\"/>
    </mc:Choice>
  </mc:AlternateContent>
  <xr:revisionPtr revIDLastSave="0" documentId="13_ncr:1_{3388C2C0-283B-4E89-BD2A-5BB68BB87574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0" i="1" l="1"/>
  <c r="R10" i="1" s="1"/>
  <c r="O10" i="1"/>
  <c r="O9" i="1"/>
  <c r="Q9" i="1" s="1"/>
  <c r="R9" i="1" s="1"/>
  <c r="O8" i="1"/>
  <c r="Q8" i="1" s="1"/>
  <c r="R8" i="1" s="1"/>
  <c r="R7" i="1"/>
  <c r="Q7" i="1"/>
  <c r="O7" i="1"/>
  <c r="R6" i="1"/>
  <c r="Q6" i="1"/>
  <c r="O6" i="1"/>
  <c r="N6" i="1"/>
  <c r="M6" i="1"/>
  <c r="L6" i="1"/>
  <c r="K6" i="1"/>
  <c r="R5" i="1"/>
  <c r="Q5" i="1"/>
  <c r="O5" i="1"/>
  <c r="N5" i="1"/>
  <c r="M5" i="1"/>
  <c r="L5" i="1"/>
  <c r="K5" i="1"/>
  <c r="R4" i="1"/>
  <c r="Q4" i="1"/>
  <c r="P4" i="1"/>
  <c r="O4" i="1"/>
  <c r="N4" i="1"/>
  <c r="M4" i="1"/>
  <c r="L4" i="1"/>
  <c r="K4" i="1"/>
  <c r="O3" i="1"/>
  <c r="Q3" i="1" s="1"/>
  <c r="R3" i="1" s="1"/>
  <c r="K3" i="1"/>
  <c r="O2" i="1"/>
  <c r="Q2" i="1" s="1"/>
  <c r="R2" i="1" s="1"/>
  <c r="I10" i="1"/>
  <c r="J10" i="1" s="1"/>
  <c r="I9" i="1"/>
  <c r="J9" i="1" s="1"/>
  <c r="I8" i="1"/>
  <c r="J8" i="1" s="1"/>
  <c r="J7" i="1"/>
  <c r="I7" i="1"/>
  <c r="J6" i="1"/>
  <c r="I6" i="1"/>
  <c r="G6" i="1"/>
  <c r="G5" i="1"/>
  <c r="J5" i="1"/>
  <c r="I5" i="1"/>
  <c r="J4" i="1"/>
  <c r="I4" i="1"/>
  <c r="H4" i="1"/>
  <c r="G4" i="1"/>
  <c r="J3" i="1"/>
  <c r="J2" i="1"/>
  <c r="I3" i="1"/>
  <c r="I2" i="1"/>
  <c r="G3" i="1"/>
  <c r="G7" i="1"/>
  <c r="G8" i="1"/>
  <c r="G9" i="1"/>
  <c r="G10" i="1"/>
  <c r="G2" i="1"/>
  <c r="F6" i="1"/>
  <c r="E6" i="1"/>
  <c r="D6" i="1"/>
  <c r="C6" i="1"/>
  <c r="F5" i="1"/>
  <c r="E5" i="1"/>
  <c r="D5" i="1"/>
  <c r="C5" i="1"/>
  <c r="D4" i="1"/>
  <c r="F4" i="1"/>
  <c r="E4" i="1"/>
  <c r="C4" i="1"/>
  <c r="C3" i="1"/>
</calcChain>
</file>

<file path=xl/sharedStrings.xml><?xml version="1.0" encoding="utf-8"?>
<sst xmlns="http://schemas.openxmlformats.org/spreadsheetml/2006/main" count="36" uniqueCount="29">
  <si>
    <t>name</t>
  </si>
  <si>
    <t>state</t>
  </si>
  <si>
    <t>active</t>
  </si>
  <si>
    <t>inactive</t>
  </si>
  <si>
    <t>study</t>
  </si>
  <si>
    <t>work</t>
  </si>
  <si>
    <t>public_transportation</t>
  </si>
  <si>
    <t>private_transportation</t>
  </si>
  <si>
    <t>charging_station</t>
  </si>
  <si>
    <t>WoS_opening_mu</t>
  </si>
  <si>
    <t>WoS_closing_mu</t>
  </si>
  <si>
    <t>WoS_closing_sigma</t>
  </si>
  <si>
    <t>WoS_closing_max</t>
  </si>
  <si>
    <t>WoS_closing_min</t>
  </si>
  <si>
    <t>Service_opening_mu</t>
  </si>
  <si>
    <t>Service_closing_mu</t>
  </si>
  <si>
    <t>WoS_opening_sigma</t>
  </si>
  <si>
    <t>Service_opening_sigma</t>
  </si>
  <si>
    <t>Service_closing_sigma</t>
  </si>
  <si>
    <t>WoS_opening_max</t>
  </si>
  <si>
    <t>WoS_opening_min</t>
  </si>
  <si>
    <t>Service_opening_max</t>
  </si>
  <si>
    <t>Service_opening_min</t>
  </si>
  <si>
    <t>Service_closing_max</t>
  </si>
  <si>
    <t>Service_closing_min</t>
  </si>
  <si>
    <t>Home</t>
  </si>
  <si>
    <t>Entertainment</t>
  </si>
  <si>
    <t>Dutties</t>
  </si>
  <si>
    <t>Healthcare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</si>
</sst>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tabSelected="1" zoomScale="190" zoomScaleNormal="190" workbookViewId="0">
      <pane xSplit="1" topLeftCell="I1" activePane="topRight" state="frozen"/>
      <selection pane="topRight" activeCell="J5" sqref="J5"/>
    </sheetView>
  </sheetViews>
  <sheetFormatPr baseColWidth="10" defaultColWidth="8.88671875" defaultRowHeight="14.4" x14ac:dyDescent="0.3"/>
  <cols>
    <col min="1" max="1" width="19.6640625" style="1" bestFit="1" customWidth="1"/>
    <col min="2" max="2" width="7.33203125" style="2" bestFit="1" customWidth="1"/>
    <col min="3" max="3" width="16.109375" style="6" bestFit="1" customWidth="1"/>
    <col min="4" max="4" width="18.21875" style="6" bestFit="1" customWidth="1"/>
    <col min="5" max="5" width="16.88671875" style="6" bestFit="1" customWidth="1"/>
    <col min="6" max="6" width="16.5546875" style="6" bestFit="1" customWidth="1"/>
    <col min="7" max="7" width="15.109375" style="6" bestFit="1" customWidth="1"/>
    <col min="8" max="8" width="17.21875" style="6" bestFit="1" customWidth="1"/>
    <col min="9" max="9" width="16" style="6" bestFit="1" customWidth="1"/>
    <col min="10" max="10" width="15.5546875" style="3" bestFit="1" customWidth="1"/>
    <col min="11" max="11" width="18.21875" bestFit="1" customWidth="1"/>
    <col min="12" max="12" width="20.21875" bestFit="1" customWidth="1"/>
    <col min="13" max="13" width="19" bestFit="1" customWidth="1"/>
    <col min="14" max="14" width="18.5546875" bestFit="1" customWidth="1"/>
    <col min="15" max="15" width="17.21875" bestFit="1" customWidth="1"/>
    <col min="16" max="16" width="19.33203125" bestFit="1" customWidth="1"/>
    <col min="17" max="17" width="18" bestFit="1" customWidth="1"/>
    <col min="18" max="18" width="17.6640625" bestFit="1" customWidth="1"/>
  </cols>
  <sheetData>
    <row r="1" spans="1:18" x14ac:dyDescent="0.3">
      <c r="A1" t="s">
        <v>0</v>
      </c>
      <c r="B1" t="s">
        <v>1</v>
      </c>
      <c r="C1" t="s">
        <v>9</v>
      </c>
      <c r="D1" t="s">
        <v>16</v>
      </c>
      <c r="E1" t="s">
        <v>19</v>
      </c>
      <c r="F1" t="s">
        <v>20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17</v>
      </c>
      <c r="M1" t="s">
        <v>21</v>
      </c>
      <c r="N1" t="s">
        <v>22</v>
      </c>
      <c r="O1" t="s">
        <v>15</v>
      </c>
      <c r="P1" t="s">
        <v>18</v>
      </c>
      <c r="Q1" t="s">
        <v>23</v>
      </c>
      <c r="R1" t="s">
        <v>24</v>
      </c>
    </row>
    <row r="2" spans="1:18" s="3" customFormat="1" x14ac:dyDescent="0.3">
      <c r="A2" s="4" t="s">
        <v>25</v>
      </c>
      <c r="B2" s="4" t="s">
        <v>2</v>
      </c>
      <c r="C2" s="4">
        <v>0</v>
      </c>
      <c r="D2" s="4">
        <v>0</v>
      </c>
      <c r="E2" s="4">
        <v>0</v>
      </c>
      <c r="F2" s="4">
        <v>0</v>
      </c>
      <c r="G2" s="4">
        <f>24*60</f>
        <v>1440</v>
      </c>
      <c r="H2" s="4">
        <v>0</v>
      </c>
      <c r="I2" s="4">
        <f>G2</f>
        <v>1440</v>
      </c>
      <c r="J2" s="5">
        <f>I2</f>
        <v>1440</v>
      </c>
      <c r="K2" s="4">
        <v>0</v>
      </c>
      <c r="L2" s="4">
        <v>0</v>
      </c>
      <c r="M2" s="4">
        <v>0</v>
      </c>
      <c r="N2" s="4">
        <v>0</v>
      </c>
      <c r="O2" s="4">
        <f>24*60</f>
        <v>1440</v>
      </c>
      <c r="P2" s="4">
        <v>0</v>
      </c>
      <c r="Q2" s="4">
        <f>O2</f>
        <v>1440</v>
      </c>
      <c r="R2" s="5">
        <f>Q2</f>
        <v>1440</v>
      </c>
    </row>
    <row r="3" spans="1:18" s="3" customFormat="1" x14ac:dyDescent="0.3">
      <c r="A3" s="4" t="s">
        <v>4</v>
      </c>
      <c r="B3" s="4" t="s">
        <v>2</v>
      </c>
      <c r="C3" s="4">
        <f>7*60</f>
        <v>420</v>
      </c>
      <c r="D3" s="4">
        <v>0</v>
      </c>
      <c r="E3" s="4">
        <v>0</v>
      </c>
      <c r="F3" s="4">
        <v>0</v>
      </c>
      <c r="G3" s="4">
        <f>16.5*60</f>
        <v>990</v>
      </c>
      <c r="H3" s="4">
        <v>0</v>
      </c>
      <c r="I3" s="4">
        <f>G3</f>
        <v>990</v>
      </c>
      <c r="J3" s="5">
        <f>I3</f>
        <v>990</v>
      </c>
      <c r="K3" s="4">
        <f>7*60</f>
        <v>420</v>
      </c>
      <c r="L3" s="4">
        <v>0</v>
      </c>
      <c r="M3" s="4">
        <v>0</v>
      </c>
      <c r="N3" s="4">
        <v>0</v>
      </c>
      <c r="O3" s="4">
        <f>16.5*60</f>
        <v>990</v>
      </c>
      <c r="P3" s="4">
        <v>0</v>
      </c>
      <c r="Q3" s="4">
        <f>O3</f>
        <v>990</v>
      </c>
      <c r="R3" s="5">
        <f>Q3</f>
        <v>990</v>
      </c>
    </row>
    <row r="4" spans="1:18" s="3" customFormat="1" x14ac:dyDescent="0.3">
      <c r="A4" s="4" t="s">
        <v>5</v>
      </c>
      <c r="B4" s="4" t="s">
        <v>2</v>
      </c>
      <c r="C4" s="4">
        <f>7.4*60</f>
        <v>444</v>
      </c>
      <c r="D4" s="4">
        <f>1.5*60</f>
        <v>90</v>
      </c>
      <c r="E4" s="4">
        <f>10*60</f>
        <v>600</v>
      </c>
      <c r="F4" s="4">
        <f>7*60</f>
        <v>420</v>
      </c>
      <c r="G4" s="4">
        <f>17*60</f>
        <v>1020</v>
      </c>
      <c r="H4" s="4">
        <f>0.2*60</f>
        <v>12</v>
      </c>
      <c r="I4" s="4">
        <f>23*60</f>
        <v>1380</v>
      </c>
      <c r="J4" s="5">
        <f>20*60</f>
        <v>1200</v>
      </c>
      <c r="K4" s="4">
        <f>7.4*60</f>
        <v>444</v>
      </c>
      <c r="L4" s="4">
        <f>1.5*60</f>
        <v>90</v>
      </c>
      <c r="M4" s="4">
        <f>10*60</f>
        <v>600</v>
      </c>
      <c r="N4" s="4">
        <f>7*60</f>
        <v>420</v>
      </c>
      <c r="O4" s="4">
        <f>17*60</f>
        <v>1020</v>
      </c>
      <c r="P4" s="4">
        <f>0.2*60</f>
        <v>12</v>
      </c>
      <c r="Q4" s="4">
        <f>23*60</f>
        <v>1380</v>
      </c>
      <c r="R4" s="5">
        <f>20*60</f>
        <v>1200</v>
      </c>
    </row>
    <row r="5" spans="1:18" s="3" customFormat="1" x14ac:dyDescent="0.3">
      <c r="A5" s="4" t="s">
        <v>26</v>
      </c>
      <c r="B5" s="4" t="s">
        <v>2</v>
      </c>
      <c r="C5" s="4">
        <f>7.4*60</f>
        <v>444</v>
      </c>
      <c r="D5" s="4">
        <f>1.5*60</f>
        <v>90</v>
      </c>
      <c r="E5" s="4">
        <f>10*60</f>
        <v>600</v>
      </c>
      <c r="F5" s="4">
        <f>7*60</f>
        <v>420</v>
      </c>
      <c r="G5" s="4">
        <f>18*60</f>
        <v>1080</v>
      </c>
      <c r="H5" s="4">
        <v>12</v>
      </c>
      <c r="I5" s="4">
        <f>19*60</f>
        <v>1140</v>
      </c>
      <c r="J5" s="5">
        <f>18*60</f>
        <v>1080</v>
      </c>
      <c r="K5" s="4">
        <f>7.4*60</f>
        <v>444</v>
      </c>
      <c r="L5" s="4">
        <f>1.5*60</f>
        <v>90</v>
      </c>
      <c r="M5" s="4">
        <f>10*60</f>
        <v>600</v>
      </c>
      <c r="N5" s="4">
        <f>7*60</f>
        <v>420</v>
      </c>
      <c r="O5" s="4">
        <f>18*60</f>
        <v>1080</v>
      </c>
      <c r="P5" s="4">
        <v>12</v>
      </c>
      <c r="Q5" s="4">
        <f>19*60</f>
        <v>1140</v>
      </c>
      <c r="R5" s="5">
        <f>18*60</f>
        <v>1080</v>
      </c>
    </row>
    <row r="6" spans="1:18" s="3" customFormat="1" x14ac:dyDescent="0.3">
      <c r="A6" s="4" t="s">
        <v>27</v>
      </c>
      <c r="B6" s="4" t="s">
        <v>2</v>
      </c>
      <c r="C6" s="4">
        <f>7.4*60</f>
        <v>444</v>
      </c>
      <c r="D6" s="4">
        <f>1.5*60</f>
        <v>90</v>
      </c>
      <c r="E6" s="4">
        <f>10*60</f>
        <v>600</v>
      </c>
      <c r="F6" s="4">
        <f>7*60</f>
        <v>420</v>
      </c>
      <c r="G6" s="4">
        <f>18*60</f>
        <v>1080</v>
      </c>
      <c r="H6" s="4">
        <v>12</v>
      </c>
      <c r="I6" s="4">
        <f>19*60</f>
        <v>1140</v>
      </c>
      <c r="J6" s="5">
        <f>18*60</f>
        <v>1080</v>
      </c>
      <c r="K6" s="4">
        <f>7.4*60</f>
        <v>444</v>
      </c>
      <c r="L6" s="4">
        <f>1.5*60</f>
        <v>90</v>
      </c>
      <c r="M6" s="4">
        <f>10*60</f>
        <v>600</v>
      </c>
      <c r="N6" s="4">
        <f>7*60</f>
        <v>420</v>
      </c>
      <c r="O6" s="4">
        <f>18*60</f>
        <v>1080</v>
      </c>
      <c r="P6" s="4">
        <v>12</v>
      </c>
      <c r="Q6" s="4">
        <f>19*60</f>
        <v>1140</v>
      </c>
      <c r="R6" s="5">
        <f>18*60</f>
        <v>1080</v>
      </c>
    </row>
    <row r="7" spans="1:18" s="3" customFormat="1" x14ac:dyDescent="0.3">
      <c r="A7" s="4" t="s">
        <v>28</v>
      </c>
      <c r="B7" s="4" t="s">
        <v>3</v>
      </c>
      <c r="C7" s="4">
        <v>0</v>
      </c>
      <c r="D7" s="4">
        <v>0</v>
      </c>
      <c r="E7" s="4">
        <v>0</v>
      </c>
      <c r="F7" s="4">
        <v>0</v>
      </c>
      <c r="G7" s="4">
        <f t="shared" ref="G3:G10" si="0">24*60</f>
        <v>1440</v>
      </c>
      <c r="H7" s="4">
        <v>0</v>
      </c>
      <c r="I7" s="4">
        <f>G7</f>
        <v>1440</v>
      </c>
      <c r="J7" s="5">
        <f>I7</f>
        <v>1440</v>
      </c>
      <c r="K7" s="4">
        <v>0</v>
      </c>
      <c r="L7" s="4">
        <v>0</v>
      </c>
      <c r="M7" s="4">
        <v>0</v>
      </c>
      <c r="N7" s="4">
        <v>0</v>
      </c>
      <c r="O7" s="4">
        <f t="shared" ref="O7:O10" si="1">24*60</f>
        <v>1440</v>
      </c>
      <c r="P7" s="4">
        <v>0</v>
      </c>
      <c r="Q7" s="4">
        <f>O7</f>
        <v>1440</v>
      </c>
      <c r="R7" s="5">
        <f>Q7</f>
        <v>1440</v>
      </c>
    </row>
    <row r="8" spans="1:18" s="3" customFormat="1" x14ac:dyDescent="0.3">
      <c r="A8" s="4" t="s">
        <v>6</v>
      </c>
      <c r="B8" s="4" t="s">
        <v>2</v>
      </c>
      <c r="C8" s="4">
        <v>0</v>
      </c>
      <c r="D8" s="4">
        <v>0</v>
      </c>
      <c r="E8" s="4">
        <v>0</v>
      </c>
      <c r="F8" s="4">
        <v>0</v>
      </c>
      <c r="G8" s="4">
        <f t="shared" si="0"/>
        <v>1440</v>
      </c>
      <c r="H8" s="4">
        <v>0</v>
      </c>
      <c r="I8" s="4">
        <f>G8</f>
        <v>1440</v>
      </c>
      <c r="J8" s="5">
        <f>I8</f>
        <v>1440</v>
      </c>
      <c r="K8" s="4">
        <v>0</v>
      </c>
      <c r="L8" s="4">
        <v>0</v>
      </c>
      <c r="M8" s="4">
        <v>0</v>
      </c>
      <c r="N8" s="4">
        <v>0</v>
      </c>
      <c r="O8" s="4">
        <f t="shared" si="1"/>
        <v>1440</v>
      </c>
      <c r="P8" s="4">
        <v>0</v>
      </c>
      <c r="Q8" s="4">
        <f>O8</f>
        <v>1440</v>
      </c>
      <c r="R8" s="5">
        <f>Q8</f>
        <v>1440</v>
      </c>
    </row>
    <row r="9" spans="1:18" s="3" customFormat="1" x14ac:dyDescent="0.3">
      <c r="A9" s="4" t="s">
        <v>7</v>
      </c>
      <c r="B9" s="4" t="s">
        <v>2</v>
      </c>
      <c r="C9" s="4">
        <v>0</v>
      </c>
      <c r="D9" s="4">
        <v>0</v>
      </c>
      <c r="E9" s="4">
        <v>0</v>
      </c>
      <c r="F9" s="4">
        <v>0</v>
      </c>
      <c r="G9" s="4">
        <f t="shared" si="0"/>
        <v>1440</v>
      </c>
      <c r="H9" s="4">
        <v>0</v>
      </c>
      <c r="I9" s="4">
        <f>G9</f>
        <v>1440</v>
      </c>
      <c r="J9" s="5">
        <f>I9</f>
        <v>1440</v>
      </c>
      <c r="K9" s="4">
        <v>0</v>
      </c>
      <c r="L9" s="4">
        <v>0</v>
      </c>
      <c r="M9" s="4">
        <v>0</v>
      </c>
      <c r="N9" s="4">
        <v>0</v>
      </c>
      <c r="O9" s="4">
        <f t="shared" si="1"/>
        <v>1440</v>
      </c>
      <c r="P9" s="4">
        <v>0</v>
      </c>
      <c r="Q9" s="4">
        <f>O9</f>
        <v>1440</v>
      </c>
      <c r="R9" s="5">
        <f>Q9</f>
        <v>1440</v>
      </c>
    </row>
    <row r="10" spans="1:18" s="3" customFormat="1" x14ac:dyDescent="0.3">
      <c r="A10" s="4" t="s">
        <v>8</v>
      </c>
      <c r="B10" s="4" t="s">
        <v>2</v>
      </c>
      <c r="C10" s="4">
        <v>0</v>
      </c>
      <c r="D10" s="4">
        <v>0</v>
      </c>
      <c r="E10" s="4">
        <v>0</v>
      </c>
      <c r="F10" s="4">
        <v>0</v>
      </c>
      <c r="G10" s="4">
        <f t="shared" si="0"/>
        <v>1440</v>
      </c>
      <c r="H10" s="4">
        <v>0</v>
      </c>
      <c r="I10" s="4">
        <f>G10</f>
        <v>1440</v>
      </c>
      <c r="J10" s="5">
        <f>I10</f>
        <v>1440</v>
      </c>
      <c r="K10" s="4">
        <v>0</v>
      </c>
      <c r="L10" s="4">
        <v>0</v>
      </c>
      <c r="M10" s="4">
        <v>0</v>
      </c>
      <c r="N10" s="4">
        <v>0</v>
      </c>
      <c r="O10" s="4">
        <f t="shared" si="1"/>
        <v>1440</v>
      </c>
      <c r="P10" s="4">
        <v>0</v>
      </c>
      <c r="Q10" s="4">
        <f>O10</f>
        <v>1440</v>
      </c>
      <c r="R10" s="5">
        <f>Q10</f>
        <v>1440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2025-09-04T18:13:03Z</dcterms:modified>
</cp:coreProperties>
</file>