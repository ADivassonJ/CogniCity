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3\Kanaleneiland\archetypes\"/>
    </mc:Choice>
  </mc:AlternateContent>
  <xr:revisionPtr revIDLastSave="0" documentId="13_ncr:1_{FC79A3C9-01A4-4040-AB30-529996D89FE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" i="1" l="1"/>
  <c r="K9" i="1"/>
  <c r="K7" i="1"/>
  <c r="V9" i="1"/>
  <c r="U9" i="1"/>
  <c r="V7" i="1"/>
  <c r="U7" i="1"/>
  <c r="P9" i="1"/>
  <c r="P8" i="1"/>
  <c r="T8" i="1" s="1"/>
  <c r="P7" i="1"/>
  <c r="O9" i="1"/>
  <c r="O8" i="1"/>
  <c r="S8" i="1" s="1"/>
  <c r="O7" i="1"/>
  <c r="M9" i="1"/>
  <c r="M7" i="1"/>
  <c r="N9" i="1"/>
  <c r="N7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<sst xmlns="http://schemas.openxmlformats.org/spreadsheetml/2006/main" count="78" uniqueCount="43">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</sst>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A11" sqref="A11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0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7.9000000000000001E-2</v>
      </c>
      <c r="L3" s="2">
        <v>0</v>
      </c>
      <c r="M3" s="2">
        <v>62.984000000000002</v>
      </c>
      <c r="N3" s="2">
        <v>2.94</v>
      </c>
      <c r="O3" s="12">
        <v>2.0065</v>
      </c>
      <c r="P3" s="12">
        <v>0.67849999999999999</v>
      </c>
      <c r="Q3" s="6">
        <v>9999</v>
      </c>
      <c r="R3" s="5">
        <v>0</v>
      </c>
      <c r="S3" s="8">
        <v>0</v>
      </c>
      <c r="T3" s="8">
        <v>0</v>
      </c>
      <c r="U3" s="14">
        <v>108.2555</v>
      </c>
      <c r="V3" s="14">
        <v>63.486499999999999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0</v>
      </c>
      <c r="M4">
        <v>0</v>
      </c>
      <c r="N4">
        <v>0</v>
      </c>
      <c r="O4" s="12">
        <v>0.63349999999999995</v>
      </c>
      <c r="P4" s="12">
        <v>0.20349999999999999</v>
      </c>
      <c r="Q4" s="6">
        <v>9999</v>
      </c>
      <c r="R4" s="5">
        <v>0</v>
      </c>
      <c r="S4" s="9">
        <f>O4*0.5</f>
        <v>0.31674999999999998</v>
      </c>
      <c r="T4" s="9">
        <f>P4*0.5</f>
        <v>0.10174999999999999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7.9000000000000001E-2</v>
      </c>
      <c r="L5" s="2">
        <v>0</v>
      </c>
      <c r="M5" s="2">
        <v>53.112000000000002</v>
      </c>
      <c r="N5" s="2">
        <v>3.9049999999999998</v>
      </c>
      <c r="O5" s="12">
        <v>1.6359999999999999</v>
      </c>
      <c r="P5" s="12">
        <v>0.628</v>
      </c>
      <c r="Q5" s="6">
        <v>9999</v>
      </c>
      <c r="R5" s="5">
        <v>0</v>
      </c>
      <c r="S5" s="8">
        <v>0</v>
      </c>
      <c r="T5" s="8">
        <v>0</v>
      </c>
      <c r="U5" s="14">
        <v>84.636499999999998</v>
      </c>
      <c r="V5" s="14">
        <v>69.209000000000003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0</v>
      </c>
      <c r="M6" s="2">
        <v>43.322000000000003</v>
      </c>
      <c r="N6" s="2">
        <v>2.206</v>
      </c>
      <c r="O6" s="12">
        <v>1.4584999999999999</v>
      </c>
      <c r="P6" s="12">
        <v>0.57899999999999996</v>
      </c>
      <c r="Q6" s="6">
        <v>9999</v>
      </c>
      <c r="R6" s="5">
        <v>0</v>
      </c>
      <c r="S6" s="8">
        <v>0</v>
      </c>
      <c r="T6" s="8">
        <v>0</v>
      </c>
      <c r="U6" s="14">
        <v>22.809000000000001</v>
      </c>
      <c r="V6" s="14">
        <v>45.003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f>3.4/2</f>
        <v>1.7</v>
      </c>
      <c r="L7" s="2">
        <v>0</v>
      </c>
      <c r="M7" s="7">
        <f>293.323/30</f>
        <v>9.7774333333333328</v>
      </c>
      <c r="N7" s="7">
        <f>38.284/30</f>
        <v>1.2761333333333333</v>
      </c>
      <c r="O7" s="13">
        <f>7.1805/30</f>
        <v>0.23935000000000001</v>
      </c>
      <c r="P7" s="13">
        <f>4.40475/30</f>
        <v>0.14682500000000001</v>
      </c>
      <c r="Q7" s="6">
        <v>9999</v>
      </c>
      <c r="R7" s="5">
        <v>0</v>
      </c>
      <c r="S7" s="8">
        <v>0</v>
      </c>
      <c r="T7" s="8">
        <v>0</v>
      </c>
      <c r="U7" s="14">
        <f>417.85375/30</f>
        <v>13.928458333333333</v>
      </c>
      <c r="V7" s="14">
        <f>324.7765/30</f>
        <v>10.825883333333334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f t="shared" ref="K8:K9" si="0">3.4/2</f>
        <v>1.7</v>
      </c>
      <c r="L8" s="2">
        <v>0</v>
      </c>
      <c r="M8">
        <v>0</v>
      </c>
      <c r="N8">
        <v>0</v>
      </c>
      <c r="O8" s="12">
        <f>3.548/30</f>
        <v>0.11826666666666667</v>
      </c>
      <c r="P8" s="12">
        <f>2.4825/30</f>
        <v>8.2750000000000004E-2</v>
      </c>
      <c r="Q8" s="6">
        <v>9999</v>
      </c>
      <c r="R8" s="5">
        <v>0</v>
      </c>
      <c r="S8" s="9">
        <f>O8*0.5</f>
        <v>5.9133333333333336E-2</v>
      </c>
      <c r="T8" s="9">
        <f>P8*0.5</f>
        <v>4.1375000000000002E-2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f t="shared" si="0"/>
        <v>1.7</v>
      </c>
      <c r="L9" s="2">
        <v>0</v>
      </c>
      <c r="M9" s="7">
        <f>357.554/30</f>
        <v>11.918466666666665</v>
      </c>
      <c r="N9" s="7">
        <f>68.396/30</f>
        <v>2.2798666666666665</v>
      </c>
      <c r="O9" s="13">
        <f>10.328/30</f>
        <v>0.34426666666666667</v>
      </c>
      <c r="P9" s="13">
        <f>7.014/30</f>
        <v>0.23380000000000001</v>
      </c>
      <c r="Q9" s="6">
        <v>9999</v>
      </c>
      <c r="R9" s="5">
        <v>0</v>
      </c>
      <c r="S9" s="8">
        <v>0</v>
      </c>
      <c r="T9" s="8">
        <v>0</v>
      </c>
      <c r="U9" s="14">
        <f>179.91525/30</f>
        <v>5.9971749999999995</v>
      </c>
      <c r="V9" s="14">
        <f>280.794/30</f>
        <v>9.3597999999999999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0.63349999999999995</v>
      </c>
      <c r="P10" s="2">
        <v>0.20349999999999999</v>
      </c>
      <c r="Q10" s="6">
        <v>9999</v>
      </c>
      <c r="R10" s="5">
        <v>0</v>
      </c>
      <c r="S10">
        <v>0.31674999999999998</v>
      </c>
      <c r="T10">
        <v>0.10174999999999999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2026-02-11T18:15:24Z</dcterms:modified>
</cp:coreProperties>
</file>