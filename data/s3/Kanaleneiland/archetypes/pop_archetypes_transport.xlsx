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Kanaleneiland\archetypes\"/>
    </mc:Choice>
  </mc:AlternateContent>
  <xr:revisionPtr revIDLastSave="0" documentId="13_ncr:1_{7CCB1E9F-2A27-4A23-A527-3A7F957A4602}" xr6:coauthVersionLast="47" xr6:coauthVersionMax="47" xr10:uidLastSave="{00000000-0000-0000-0000-000000000000}"/>
  <bookViews>
    <workbookView xWindow="28680" yWindow="855" windowWidth="25440" windowHeight="1527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1" l="1"/>
  <c r="T8" i="1" s="1"/>
  <c r="P7" i="1"/>
  <c r="O8" i="1"/>
  <c r="O7" i="1"/>
  <c r="V7" i="1"/>
  <c r="U7" i="1"/>
  <c r="K8" i="1"/>
  <c r="K9" i="1"/>
  <c r="K7" i="1"/>
  <c r="M9" i="1"/>
  <c r="M7" i="1"/>
  <c r="N9" i="1"/>
  <c r="N7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<sst xmlns="http://schemas.openxmlformats.org/spreadsheetml/2006/main" count="78" uniqueCount="43">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</sst>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L1" zoomScale="170" zoomScaleNormal="170" workbookViewId="0">
      <selection activeCell="P7" sqref="P7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x14ac:dyDescent="0.3">
      <c r="A1" t="s">
        <v>0</v>
      </c>
      <c r="B1" t="s">
        <v>8</v>
      </c>
      <c r="C1" t="s">
        <v>15</v>
      </c>
      <c r="D1" t="s">
        <v>6</v>
      </c>
      <c r="E1" t="s">
        <v>31</v>
      </c>
      <c r="F1" t="s">
        <v>32</v>
      </c>
      <c r="G1" t="s">
        <v>33</v>
      </c>
      <c r="H1" t="s">
        <v>34</v>
      </c>
      <c r="I1" t="s">
        <v>2</v>
      </c>
      <c r="J1" t="s">
        <v>3</v>
      </c>
      <c r="K1" t="s">
        <v>40</v>
      </c>
      <c r="L1" t="s">
        <v>41</v>
      </c>
      <c r="M1" t="s">
        <v>18</v>
      </c>
      <c r="N1" t="s">
        <v>19</v>
      </c>
      <c r="O1" s="1" t="s">
        <v>20</v>
      </c>
      <c r="P1" s="1" t="s">
        <v>21</v>
      </c>
      <c r="Q1" s="1" t="s">
        <v>38</v>
      </c>
      <c r="R1" s="1" t="s">
        <v>39</v>
      </c>
      <c r="S1" t="s">
        <v>4</v>
      </c>
      <c r="T1" t="s">
        <v>5</v>
      </c>
      <c r="U1" s="1" t="s">
        <v>22</v>
      </c>
      <c r="V1" s="1" t="s">
        <v>23</v>
      </c>
      <c r="W1" t="s">
        <v>11</v>
      </c>
      <c r="X1" t="s">
        <v>12</v>
      </c>
      <c r="Y1" t="s">
        <v>13</v>
      </c>
      <c r="Z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>
        <v>0</v>
      </c>
      <c r="L2">
        <v>1.0000000000000001E-5</v>
      </c>
      <c r="M2">
        <v>0</v>
      </c>
      <c r="N2">
        <v>0</v>
      </c>
      <c r="O2" s="1">
        <v>0</v>
      </c>
      <c r="P2" s="1">
        <v>0</v>
      </c>
      <c r="Q2" s="1">
        <v>0</v>
      </c>
      <c r="R2" s="1">
        <v>0</v>
      </c>
      <c r="S2">
        <v>0</v>
      </c>
      <c r="T2">
        <v>0</v>
      </c>
      <c r="U2" s="1">
        <v>0</v>
      </c>
      <c r="V2" s="1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t="s">
        <v>36</v>
      </c>
      <c r="H3" t="s">
        <v>36</v>
      </c>
      <c r="I3">
        <v>0.66666666666666663</v>
      </c>
      <c r="J3">
        <v>0.1</v>
      </c>
      <c r="K3" s="1">
        <v>5.8500000000000003E-2</v>
      </c>
      <c r="L3">
        <v>1.0000000000000001E-5</v>
      </c>
      <c r="M3">
        <v>62.984000000000002</v>
      </c>
      <c r="N3">
        <v>2.94</v>
      </c>
      <c r="O3" s="1">
        <v>2.6622499999999998</v>
      </c>
      <c r="P3" s="1">
        <v>0.13550000000000001</v>
      </c>
      <c r="Q3" s="1">
        <v>9999</v>
      </c>
      <c r="R3" s="1">
        <v>0</v>
      </c>
      <c r="S3">
        <v>0</v>
      </c>
      <c r="T3">
        <v>0</v>
      </c>
      <c r="U3" s="1">
        <v>177.67675</v>
      </c>
      <c r="V3" s="1">
        <v>14.45575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t="s">
        <v>37</v>
      </c>
      <c r="H4" t="s">
        <v>37</v>
      </c>
      <c r="I4">
        <v>0.66666666666666663</v>
      </c>
      <c r="J4">
        <v>0.1</v>
      </c>
      <c r="K4" s="1">
        <v>0.13550000000000001</v>
      </c>
      <c r="L4">
        <v>1.0000000000000001E-5</v>
      </c>
      <c r="M4">
        <v>0</v>
      </c>
      <c r="N4">
        <v>0</v>
      </c>
      <c r="O4" s="1">
        <v>0.83599999999999997</v>
      </c>
      <c r="P4" s="1">
        <v>5.1749999999999997E-2</v>
      </c>
      <c r="Q4" s="1">
        <v>9999</v>
      </c>
      <c r="R4" s="1">
        <v>0</v>
      </c>
      <c r="S4">
        <f>O4*0.5</f>
        <v>0.41799999999999998</v>
      </c>
      <c r="T4">
        <f>P4*0.5</f>
        <v>2.5874999999999999E-2</v>
      </c>
      <c r="U4" s="1">
        <v>0</v>
      </c>
      <c r="V4" s="1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t="s">
        <v>36</v>
      </c>
      <c r="H5" t="s">
        <v>36</v>
      </c>
      <c r="I5">
        <v>0.66666666666666663</v>
      </c>
      <c r="J5">
        <v>0.1</v>
      </c>
      <c r="K5" s="1">
        <v>5.8500000000000003E-2</v>
      </c>
      <c r="L5">
        <v>1.0000000000000001E-5</v>
      </c>
      <c r="M5">
        <v>53.112000000000002</v>
      </c>
      <c r="N5">
        <v>3.9049999999999998</v>
      </c>
      <c r="O5" s="1">
        <v>2.2040000000000002</v>
      </c>
      <c r="P5" s="1">
        <v>0.17324999999999999</v>
      </c>
      <c r="Q5" s="1">
        <v>9999</v>
      </c>
      <c r="R5" s="1">
        <v>0</v>
      </c>
      <c r="S5">
        <v>0</v>
      </c>
      <c r="T5">
        <v>0</v>
      </c>
      <c r="U5" s="1">
        <v>148.41425000000001</v>
      </c>
      <c r="V5" s="1">
        <v>20.62425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t="s">
        <v>36</v>
      </c>
      <c r="H6" t="s">
        <v>36</v>
      </c>
      <c r="I6">
        <v>0.66666666666666663</v>
      </c>
      <c r="J6">
        <v>0.1</v>
      </c>
      <c r="K6">
        <v>0.05</v>
      </c>
      <c r="L6">
        <v>1.0000000000000001E-5</v>
      </c>
      <c r="M6">
        <v>43.322000000000003</v>
      </c>
      <c r="N6">
        <v>2.206</v>
      </c>
      <c r="O6" s="1">
        <v>2.0034999999999998</v>
      </c>
      <c r="P6" s="1">
        <v>0.21074999999999999</v>
      </c>
      <c r="Q6" s="1">
        <v>9999</v>
      </c>
      <c r="R6" s="1">
        <v>0</v>
      </c>
      <c r="S6">
        <v>0</v>
      </c>
      <c r="T6">
        <v>0</v>
      </c>
      <c r="U6" s="1">
        <v>39.853499999999997</v>
      </c>
      <c r="V6" s="1">
        <v>60.514249999999997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t="s">
        <v>35</v>
      </c>
      <c r="H7" t="s">
        <v>35</v>
      </c>
      <c r="I7">
        <v>0.66666666666666663</v>
      </c>
      <c r="J7">
        <v>0.1</v>
      </c>
      <c r="K7" s="1">
        <f>20/21*0.5</f>
        <v>0.47619047619047616</v>
      </c>
      <c r="L7">
        <v>1.0000000000000001E-5</v>
      </c>
      <c r="M7">
        <f>293.323/30</f>
        <v>9.7774333333333328</v>
      </c>
      <c r="N7">
        <f>38.284/30</f>
        <v>1.2761333333333333</v>
      </c>
      <c r="O7" s="2">
        <f>12.74825/45</f>
        <v>0.28329444444444446</v>
      </c>
      <c r="P7" s="2">
        <f>1.69925/45</f>
        <v>3.7761111111111106E-2</v>
      </c>
      <c r="Q7" s="1">
        <v>9999</v>
      </c>
      <c r="R7" s="1">
        <v>0</v>
      </c>
      <c r="S7">
        <v>0</v>
      </c>
      <c r="T7">
        <v>0</v>
      </c>
      <c r="U7" s="2">
        <f>764.5795/45</f>
        <v>16.990655555555556</v>
      </c>
      <c r="V7" s="2">
        <f>277.436/45</f>
        <v>6.1652444444444443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t="s">
        <v>37</v>
      </c>
      <c r="H8" t="s">
        <v>37</v>
      </c>
      <c r="I8">
        <v>0.66666666666666663</v>
      </c>
      <c r="J8">
        <v>0.1</v>
      </c>
      <c r="K8" s="1">
        <f t="shared" ref="K8:K9" si="0">20/21*0.5</f>
        <v>0.47619047619047616</v>
      </c>
      <c r="L8">
        <v>1.0000000000000001E-5</v>
      </c>
      <c r="M8">
        <v>0</v>
      </c>
      <c r="N8">
        <v>0</v>
      </c>
      <c r="O8" s="2">
        <f>5.57075/45</f>
        <v>0.12379444444444446</v>
      </c>
      <c r="P8" s="2">
        <f>1.6835/45</f>
        <v>3.741111111111111E-2</v>
      </c>
      <c r="Q8" s="1">
        <v>9999</v>
      </c>
      <c r="R8" s="1">
        <v>0</v>
      </c>
      <c r="S8">
        <f>O8*0.5</f>
        <v>6.1897222222222228E-2</v>
      </c>
      <c r="T8">
        <f>P8*0.5</f>
        <v>1.8705555555555555E-2</v>
      </c>
      <c r="U8" s="2">
        <v>0</v>
      </c>
      <c r="V8" s="2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t="s">
        <v>35</v>
      </c>
      <c r="H9" t="s">
        <v>35</v>
      </c>
      <c r="I9">
        <v>0.66666666666666663</v>
      </c>
      <c r="J9">
        <v>0.1</v>
      </c>
      <c r="K9" s="1">
        <f t="shared" si="0"/>
        <v>0.47619047619047616</v>
      </c>
      <c r="L9">
        <v>1.0000000000000001E-5</v>
      </c>
      <c r="M9">
        <f>357.554/30</f>
        <v>11.918466666666665</v>
      </c>
      <c r="N9">
        <f>68.396/30</f>
        <v>2.2798666666666665</v>
      </c>
      <c r="O9" s="1">
        <v>16.327500000000001</v>
      </c>
      <c r="P9" s="1">
        <v>2.6087500000000001</v>
      </c>
      <c r="Q9" s="1">
        <v>9999</v>
      </c>
      <c r="R9" s="1">
        <v>0</v>
      </c>
      <c r="S9">
        <v>0</v>
      </c>
      <c r="T9">
        <v>0</v>
      </c>
      <c r="U9" s="1">
        <v>426.74900000000002</v>
      </c>
      <c r="V9" s="1">
        <v>384.26925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 s="1">
        <v>0.13550000000000001</v>
      </c>
      <c r="L10">
        <v>1.0000000000000001E-5</v>
      </c>
      <c r="M10">
        <v>0</v>
      </c>
      <c r="N10">
        <v>0</v>
      </c>
      <c r="O10" s="1">
        <v>0.83599999999999997</v>
      </c>
      <c r="P10" s="1">
        <v>5.1749999999999997E-2</v>
      </c>
      <c r="Q10" s="1">
        <v>9999</v>
      </c>
      <c r="R10" s="1">
        <v>0</v>
      </c>
      <c r="S10">
        <v>0.41949999999999998</v>
      </c>
      <c r="T10">
        <v>2.8000000000000001E-2</v>
      </c>
      <c r="U10" s="1">
        <v>0</v>
      </c>
      <c r="V10" s="1">
        <v>0</v>
      </c>
      <c r="W10">
        <v>80</v>
      </c>
      <c r="X10">
        <v>10</v>
      </c>
      <c r="Y10">
        <v>60</v>
      </c>
      <c r="Z10">
        <v>100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2026-03-18T10:41:13Z</dcterms:modified>
</cp:coreProperties>
</file>