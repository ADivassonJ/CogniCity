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archetypes\"/>
    </mc:Choice>
  </mc:AlternateContent>
  <xr:revisionPtr revIDLastSave="0" documentId="13_ncr:1_{CEB263F3-B1AE-410D-80A9-159A1F2BDE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" l="1"/>
  <c r="S10" i="1"/>
  <c r="M9" i="1"/>
  <c r="M7" i="1"/>
  <c r="N9" i="1"/>
  <c r="N7" i="1"/>
  <c r="O9" i="1"/>
  <c r="O8" i="1"/>
  <c r="O7" i="1"/>
  <c r="P7" i="1"/>
  <c r="P8" i="1"/>
  <c r="P9" i="1"/>
  <c r="V9" i="1"/>
  <c r="V7" i="1"/>
  <c r="U9" i="1"/>
  <c r="U7" i="1"/>
  <c r="T8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<sst xmlns="http://schemas.openxmlformats.org/spreadsheetml/2006/main" count="78" uniqueCount="43">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</sst>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1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B10" sqref="B10:Z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style="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2</v>
      </c>
      <c r="J1" s="1" t="s">
        <v>3</v>
      </c>
      <c r="K1" s="1" t="s">
        <v>40</v>
      </c>
      <c r="L1" s="1" t="s">
        <v>41</v>
      </c>
      <c r="M1" s="1" t="s">
        <v>18</v>
      </c>
      <c r="N1" s="1" t="s">
        <v>19</v>
      </c>
      <c r="O1" s="1" t="s">
        <v>20</v>
      </c>
      <c r="P1" s="1" t="s">
        <v>21</v>
      </c>
      <c r="Q1" s="4" t="s">
        <v>38</v>
      </c>
      <c r="R1" s="4" t="s">
        <v>39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0</v>
      </c>
      <c r="M2">
        <v>0</v>
      </c>
      <c r="N2">
        <v>0</v>
      </c>
      <c r="O2">
        <v>0</v>
      </c>
      <c r="P2">
        <v>0</v>
      </c>
      <c r="Q2" s="5">
        <v>0</v>
      </c>
      <c r="R2" s="5">
        <v>0</v>
      </c>
      <c r="S2" s="8">
        <v>0</v>
      </c>
      <c r="T2" s="8">
        <v>0</v>
      </c>
      <c r="U2" s="8">
        <v>0</v>
      </c>
      <c r="V2" s="8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36</v>
      </c>
      <c r="H3" s="3" t="s">
        <v>36</v>
      </c>
      <c r="I3">
        <v>0.66666666666666663</v>
      </c>
      <c r="J3">
        <v>0.1</v>
      </c>
      <c r="K3" s="2">
        <v>4.2999999999999997E-2</v>
      </c>
      <c r="L3" s="2">
        <v>0</v>
      </c>
      <c r="M3" s="2">
        <v>62.984000000000002</v>
      </c>
      <c r="N3" s="2">
        <v>2.94</v>
      </c>
      <c r="O3" s="2">
        <v>2.6709999999999998</v>
      </c>
      <c r="P3" s="2">
        <v>0.13800000000000001</v>
      </c>
      <c r="Q3" s="6">
        <v>9999</v>
      </c>
      <c r="R3" s="5">
        <v>0</v>
      </c>
      <c r="S3" s="8">
        <v>0</v>
      </c>
      <c r="T3" s="8">
        <v>0</v>
      </c>
      <c r="U3" s="8">
        <v>177.70699999999999</v>
      </c>
      <c r="V3" s="8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37</v>
      </c>
      <c r="H4" s="3" t="s">
        <v>37</v>
      </c>
      <c r="I4">
        <v>0.66666666666666663</v>
      </c>
      <c r="J4">
        <v>0.1</v>
      </c>
      <c r="K4" s="2">
        <v>9.7000000000000003E-2</v>
      </c>
      <c r="L4" s="2">
        <v>0</v>
      </c>
      <c r="M4">
        <v>0</v>
      </c>
      <c r="N4">
        <v>0</v>
      </c>
      <c r="O4" s="2">
        <v>0.83899999999999997</v>
      </c>
      <c r="P4" s="2">
        <v>5.6000000000000001E-2</v>
      </c>
      <c r="Q4" s="6">
        <v>9999</v>
      </c>
      <c r="R4" s="5">
        <v>0</v>
      </c>
      <c r="S4" s="9">
        <f>O4*0.5</f>
        <v>0.41949999999999998</v>
      </c>
      <c r="T4" s="9">
        <f>P4*0.5</f>
        <v>2.8000000000000001E-2</v>
      </c>
      <c r="U4" s="8">
        <v>0</v>
      </c>
      <c r="V4" s="8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36</v>
      </c>
      <c r="H5" s="3" t="s">
        <v>36</v>
      </c>
      <c r="I5">
        <v>0.66666666666666663</v>
      </c>
      <c r="J5">
        <v>0.1</v>
      </c>
      <c r="K5" s="2">
        <v>4.1000000000000002E-2</v>
      </c>
      <c r="L5" s="2">
        <v>0</v>
      </c>
      <c r="M5" s="2">
        <v>53.112000000000002</v>
      </c>
      <c r="N5" s="2">
        <v>3.9049999999999998</v>
      </c>
      <c r="O5" s="2">
        <v>2.1800000000000002</v>
      </c>
      <c r="P5" s="2">
        <v>0.17799999999999999</v>
      </c>
      <c r="Q5" s="6">
        <v>9999</v>
      </c>
      <c r="R5" s="5">
        <v>0</v>
      </c>
      <c r="S5" s="8">
        <v>0</v>
      </c>
      <c r="T5" s="8">
        <v>0</v>
      </c>
      <c r="U5" s="8">
        <v>146.732</v>
      </c>
      <c r="V5" s="8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36</v>
      </c>
      <c r="H6" s="3" t="s">
        <v>36</v>
      </c>
      <c r="I6">
        <v>0.66666666666666663</v>
      </c>
      <c r="J6">
        <v>0.1</v>
      </c>
      <c r="K6" s="2">
        <v>0.05</v>
      </c>
      <c r="L6" s="2">
        <v>0</v>
      </c>
      <c r="M6" s="2">
        <v>43.322000000000003</v>
      </c>
      <c r="N6" s="2">
        <v>2.206</v>
      </c>
      <c r="O6" s="2">
        <v>1.9750000000000001</v>
      </c>
      <c r="P6" s="2">
        <v>0.20399999999999999</v>
      </c>
      <c r="Q6" s="6">
        <v>9999</v>
      </c>
      <c r="R6" s="5">
        <v>0</v>
      </c>
      <c r="S6" s="8">
        <v>0</v>
      </c>
      <c r="T6" s="8">
        <v>0</v>
      </c>
      <c r="U6" s="8">
        <v>37.835000000000001</v>
      </c>
      <c r="V6" s="8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35</v>
      </c>
      <c r="H7" s="3" t="s">
        <v>35</v>
      </c>
      <c r="I7">
        <v>0.66666666666666663</v>
      </c>
      <c r="J7">
        <v>0.1</v>
      </c>
      <c r="K7" s="2">
        <v>2</v>
      </c>
      <c r="L7" s="2">
        <v>0</v>
      </c>
      <c r="M7" s="7">
        <f>293.323/30</f>
        <v>9.7774333333333328</v>
      </c>
      <c r="N7" s="7">
        <f>38.284/30</f>
        <v>1.2761333333333333</v>
      </c>
      <c r="O7" s="7">
        <f>12.372/30</f>
        <v>0.41239999999999999</v>
      </c>
      <c r="P7" s="7">
        <f>1.668/30</f>
        <v>5.5599999999999997E-2</v>
      </c>
      <c r="Q7" s="6">
        <v>9999</v>
      </c>
      <c r="R7" s="5">
        <v>0</v>
      </c>
      <c r="S7" s="8">
        <v>0</v>
      </c>
      <c r="T7" s="8">
        <v>0</v>
      </c>
      <c r="U7" s="8">
        <f>740.509/30</f>
        <v>24.683633333333333</v>
      </c>
      <c r="V7" s="8">
        <f>271.113/30</f>
        <v>9.0371000000000006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37</v>
      </c>
      <c r="H8" s="3" t="s">
        <v>37</v>
      </c>
      <c r="I8">
        <v>0.66666666666666663</v>
      </c>
      <c r="J8">
        <v>0.1</v>
      </c>
      <c r="K8" s="2">
        <v>2</v>
      </c>
      <c r="L8" s="2">
        <v>0</v>
      </c>
      <c r="M8">
        <v>0</v>
      </c>
      <c r="N8">
        <v>0</v>
      </c>
      <c r="O8" s="2">
        <f>5.542/30</f>
        <v>0.18473333333333333</v>
      </c>
      <c r="P8" s="2">
        <f>1.704/30</f>
        <v>5.6799999999999996E-2</v>
      </c>
      <c r="Q8" s="6">
        <v>9999</v>
      </c>
      <c r="R8" s="5">
        <v>0</v>
      </c>
      <c r="S8" s="9">
        <f>O8*0.5</f>
        <v>9.2366666666666666E-2</v>
      </c>
      <c r="T8" s="9">
        <f>P8*0.5</f>
        <v>2.8399999999999998E-2</v>
      </c>
      <c r="U8" s="8">
        <v>0</v>
      </c>
      <c r="V8" s="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35</v>
      </c>
      <c r="H9" s="3" t="s">
        <v>35</v>
      </c>
      <c r="I9">
        <v>0.66666666666666663</v>
      </c>
      <c r="J9">
        <v>0.1</v>
      </c>
      <c r="K9" s="2">
        <v>2</v>
      </c>
      <c r="L9" s="2">
        <v>0</v>
      </c>
      <c r="M9" s="7">
        <f>357.554/30</f>
        <v>11.918466666666665</v>
      </c>
      <c r="N9" s="7">
        <f>68.396/30</f>
        <v>2.2798666666666665</v>
      </c>
      <c r="O9" s="7">
        <f>16.118/30</f>
        <v>0.53726666666666667</v>
      </c>
      <c r="P9" s="7">
        <f>2.637/30</f>
        <v>8.7900000000000006E-2</v>
      </c>
      <c r="Q9" s="6">
        <v>9999</v>
      </c>
      <c r="R9" s="5">
        <v>0</v>
      </c>
      <c r="S9" s="8">
        <v>0</v>
      </c>
      <c r="T9" s="8">
        <v>0</v>
      </c>
      <c r="U9" s="8">
        <f>411.627/30</f>
        <v>13.7209</v>
      </c>
      <c r="V9" s="8">
        <f>386.868/30</f>
        <v>12.8956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s="3" t="s">
        <v>37</v>
      </c>
      <c r="H10" s="3" t="s">
        <v>37</v>
      </c>
      <c r="I10">
        <v>0.66666666666666663</v>
      </c>
      <c r="J10">
        <v>0.1</v>
      </c>
      <c r="K10" s="2">
        <v>9.7000000000000003E-2</v>
      </c>
      <c r="L10" s="2">
        <v>0</v>
      </c>
      <c r="M10">
        <v>0</v>
      </c>
      <c r="N10">
        <v>0</v>
      </c>
      <c r="O10" s="2">
        <v>0.83899999999999997</v>
      </c>
      <c r="P10" s="2">
        <v>5.6000000000000001E-2</v>
      </c>
      <c r="Q10" s="6">
        <v>9999</v>
      </c>
      <c r="R10" s="5">
        <v>0</v>
      </c>
      <c r="S10" s="9">
        <f>O10*0.5</f>
        <v>0.41949999999999998</v>
      </c>
      <c r="T10" s="9">
        <f>P10*0.5</f>
        <v>2.8000000000000001E-2</v>
      </c>
      <c r="U10" s="8">
        <v>0</v>
      </c>
      <c r="V10" s="8">
        <v>0</v>
      </c>
      <c r="W10">
        <v>80</v>
      </c>
      <c r="X10">
        <v>10</v>
      </c>
      <c r="Y10">
        <v>60</v>
      </c>
      <c r="Z10">
        <v>100</v>
      </c>
    </row>
  </sheetData>
  <conditionalFormatting sqref="A7:J9">
    <cfRule type="cellIs" dxfId="9" priority="18" operator="equal">
      <formula>0</formula>
    </cfRule>
  </conditionalFormatting>
  <conditionalFormatting sqref="J1:XFD1 A1:I6 M2:XFD2 J2:J6 S4:XFD4 T4:T7 A11:XFD1048576 A10:J10 S10:Z10">
    <cfRule type="cellIs" dxfId="8" priority="23" operator="equal">
      <formula>0</formula>
    </cfRule>
  </conditionalFormatting>
  <conditionalFormatting sqref="M4:P4">
    <cfRule type="cellIs" dxfId="7" priority="8" operator="equal">
      <formula>0</formula>
    </cfRule>
  </conditionalFormatting>
  <conditionalFormatting sqref="M7:P8">
    <cfRule type="cellIs" dxfId="6" priority="7" operator="equal">
      <formula>0</formula>
    </cfRule>
  </conditionalFormatting>
  <conditionalFormatting sqref="O3:XFD3">
    <cfRule type="cellIs" dxfId="5" priority="10" operator="equal">
      <formula>0</formula>
    </cfRule>
  </conditionalFormatting>
  <conditionalFormatting sqref="Q4:R10">
    <cfRule type="cellIs" dxfId="4" priority="20" operator="equal">
      <formula>0</formula>
    </cfRule>
  </conditionalFormatting>
  <conditionalFormatting sqref="S5:S7">
    <cfRule type="cellIs" dxfId="3" priority="16" operator="equal">
      <formula>0</formula>
    </cfRule>
  </conditionalFormatting>
  <conditionalFormatting sqref="S8:T9">
    <cfRule type="cellIs" dxfId="2" priority="2" operator="equal">
      <formula>0</formula>
    </cfRule>
  </conditionalFormatting>
  <conditionalFormatting sqref="U5:XFD9 AA10:XFD10">
    <cfRule type="cellIs" dxfId="1" priority="3" operator="equal">
      <formula>0</formula>
    </cfRule>
  </conditionalFormatting>
  <conditionalFormatting sqref="M10:P1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2026-02-11T18:09:51Z</dcterms:modified>
</cp:coreProperties>
</file>