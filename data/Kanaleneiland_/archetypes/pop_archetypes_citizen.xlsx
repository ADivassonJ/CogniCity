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Kanaleneiland\archetypes\"/>
    </mc:Choice>
  </mc:AlternateContent>
  <xr:revisionPtr revIDLastSave="0" documentId="13_ncr:1_{79A01490-844D-484C-A22C-A95BC26F63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" l="1"/>
  <c r="AH5" i="1"/>
  <c r="AH4" i="1"/>
  <c r="AH3" i="1"/>
  <c r="AH2" i="1"/>
  <c r="AG6" i="1"/>
  <c r="AG5" i="1"/>
  <c r="AG4" i="1"/>
  <c r="AG3" i="1"/>
  <c r="AG2" i="1"/>
  <c r="AF6" i="1"/>
  <c r="AF5" i="1"/>
  <c r="AF4" i="1"/>
  <c r="AF3" i="1"/>
  <c r="AF2" i="1"/>
  <c r="AE2" i="1"/>
  <c r="AE6" i="1"/>
  <c r="AE5" i="1"/>
  <c r="AE4" i="1"/>
  <c r="AE3" i="1"/>
</calcChain>
</file>

<file path=xl/sharedStrings.xml><?xml version="1.0" encoding="utf-8"?>
<sst xmlns="http://schemas.openxmlformats.org/spreadsheetml/2006/main" count="49" uniqueCount="45">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</sst>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topLeftCell="AB1" zoomScale="150" zoomScaleNormal="150" workbookViewId="0">
      <selection activeCell="AE8" sqref="AE8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3" width="11.109375" bestFit="1" customWidth="1"/>
    <col min="34" max="34" width="13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s="7" t="s">
        <v>35</v>
      </c>
      <c r="AF1" s="7" t="s">
        <v>36</v>
      </c>
      <c r="AG1" s="7" t="s">
        <v>37</v>
      </c>
      <c r="AH1" s="7" t="s">
        <v>38</v>
      </c>
      <c r="AI1" s="2"/>
    </row>
    <row r="2" spans="1:35" x14ac:dyDescent="0.3">
      <c r="A2" t="s">
        <v>5</v>
      </c>
      <c r="B2" t="s">
        <v>10</v>
      </c>
      <c r="C2">
        <v>0.29944907087005901</v>
      </c>
      <c r="D2" t="s">
        <v>4</v>
      </c>
      <c r="E2" s="3">
        <v>0.90925</v>
      </c>
      <c r="F2" s="3">
        <v>0.30649999999999999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480</v>
      </c>
      <c r="N2">
        <v>180</v>
      </c>
      <c r="O2">
        <v>480</v>
      </c>
      <c r="P2">
        <v>240</v>
      </c>
      <c r="Q2" s="3">
        <v>0.30000000000000004</v>
      </c>
      <c r="R2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3">
        <v>7.4399999999999994E-2</v>
      </c>
      <c r="AB2" s="3">
        <v>4.4999999999999999E-4</v>
      </c>
      <c r="AC2">
        <v>0.1</v>
      </c>
      <c r="AD2">
        <v>7.4999999999999997E-2</v>
      </c>
      <c r="AE2" s="7">
        <f>12764*0.87</f>
        <v>11104.68</v>
      </c>
      <c r="AF2" s="7">
        <f>587*0.87</f>
        <v>510.69</v>
      </c>
      <c r="AG2" s="7">
        <f>14597*0.87</f>
        <v>12699.39</v>
      </c>
      <c r="AH2" s="7">
        <f>1459*0.87</f>
        <v>1269.33</v>
      </c>
    </row>
    <row r="3" spans="1:35" x14ac:dyDescent="0.3">
      <c r="A3" t="s">
        <v>6</v>
      </c>
      <c r="B3" t="s">
        <v>11</v>
      </c>
      <c r="C3">
        <v>0.28136043946110434</v>
      </c>
      <c r="D3" t="s">
        <v>4</v>
      </c>
      <c r="E3" s="3">
        <v>0.84175</v>
      </c>
      <c r="F3" s="3">
        <v>0.34110000000000001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480</v>
      </c>
      <c r="N3">
        <v>180</v>
      </c>
      <c r="O3">
        <v>480</v>
      </c>
      <c r="P3">
        <v>240</v>
      </c>
      <c r="Q3" s="3">
        <v>0.35</v>
      </c>
      <c r="R3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3">
        <v>7.4399999999999994E-2</v>
      </c>
      <c r="AB3" s="3">
        <v>4.4999999999999999E-4</v>
      </c>
      <c r="AC3">
        <v>9.1999999999999998E-2</v>
      </c>
      <c r="AD3">
        <v>7.1999999999999995E-2</v>
      </c>
      <c r="AE3" s="7">
        <f>10415*0.87</f>
        <v>9061.0499999999993</v>
      </c>
      <c r="AF3" s="7">
        <f>636*0.87</f>
        <v>553.32000000000005</v>
      </c>
      <c r="AG3" s="7">
        <f>10736*0.87</f>
        <v>9340.32</v>
      </c>
      <c r="AH3" s="7">
        <f>1303*0.87</f>
        <v>1133.6099999999999</v>
      </c>
    </row>
    <row r="4" spans="1:35" x14ac:dyDescent="0.3">
      <c r="A4" t="s">
        <v>7</v>
      </c>
      <c r="B4" t="s">
        <v>12</v>
      </c>
      <c r="C4">
        <v>0.16444947636569487</v>
      </c>
      <c r="D4" t="s">
        <v>4</v>
      </c>
      <c r="E4">
        <v>0</v>
      </c>
      <c r="F4" s="5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360</v>
      </c>
      <c r="N4">
        <v>30</v>
      </c>
      <c r="O4">
        <v>480</v>
      </c>
      <c r="P4">
        <v>360</v>
      </c>
      <c r="Q4">
        <v>0</v>
      </c>
      <c r="R4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3">
        <v>8.4000000000000005E-2</v>
      </c>
      <c r="AB4" s="3">
        <v>3.0000000000000001E-3</v>
      </c>
      <c r="AC4">
        <v>8.3000000000000004E-2</v>
      </c>
      <c r="AD4">
        <v>4.2000000000000003E-2</v>
      </c>
      <c r="AE4" s="7">
        <f>3822*0.87</f>
        <v>3325.14</v>
      </c>
      <c r="AF4" s="7">
        <f>402*0.87</f>
        <v>349.74</v>
      </c>
      <c r="AG4" s="7">
        <f>6860*0.87</f>
        <v>5968.2</v>
      </c>
      <c r="AH4" s="7">
        <f>1279*0.87</f>
        <v>1112.73</v>
      </c>
    </row>
    <row r="5" spans="1:35" x14ac:dyDescent="0.3">
      <c r="A5" t="s">
        <v>8</v>
      </c>
      <c r="B5" t="s">
        <v>13</v>
      </c>
      <c r="C5">
        <v>7.1327483724879709E-2</v>
      </c>
      <c r="D5" t="s">
        <v>4</v>
      </c>
      <c r="E5" s="3">
        <v>0.76824999999999999</v>
      </c>
      <c r="F5" s="3">
        <v>0.36599999999999999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480</v>
      </c>
      <c r="N5">
        <v>180</v>
      </c>
      <c r="O5">
        <v>480</v>
      </c>
      <c r="P5">
        <v>240</v>
      </c>
      <c r="Q5" s="3">
        <v>0.85</v>
      </c>
      <c r="R5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3">
        <v>7.0199999999999999E-2</v>
      </c>
      <c r="AB5" s="3">
        <v>7.5000000000000002E-4</v>
      </c>
      <c r="AC5">
        <v>0.1</v>
      </c>
      <c r="AD5">
        <v>6.7000000000000004E-2</v>
      </c>
      <c r="AE5" s="7">
        <f>5900*0.87</f>
        <v>5133</v>
      </c>
      <c r="AF5" s="7">
        <f>1259*0.87</f>
        <v>1095.33</v>
      </c>
      <c r="AG5" s="7">
        <f>10735*0.87</f>
        <v>9339.4500000000007</v>
      </c>
      <c r="AH5" s="7">
        <f>1698*0.87</f>
        <v>1477.26</v>
      </c>
    </row>
    <row r="6" spans="1:35" x14ac:dyDescent="0.3">
      <c r="A6" t="s">
        <v>9</v>
      </c>
      <c r="B6" t="s">
        <v>14</v>
      </c>
      <c r="C6">
        <v>0.1834135295782621</v>
      </c>
      <c r="D6" t="s">
        <v>4</v>
      </c>
      <c r="E6">
        <v>0.65900000000000003</v>
      </c>
      <c r="F6" s="3">
        <v>0.3881</v>
      </c>
      <c r="G6">
        <v>1</v>
      </c>
      <c r="H6">
        <v>0</v>
      </c>
      <c r="I6">
        <v>0.71</v>
      </c>
      <c r="J6">
        <v>0.38</v>
      </c>
      <c r="K6">
        <v>0</v>
      </c>
      <c r="L6">
        <v>1</v>
      </c>
      <c r="M6">
        <v>480</v>
      </c>
      <c r="N6">
        <v>180</v>
      </c>
      <c r="O6">
        <v>480</v>
      </c>
      <c r="P6">
        <v>240</v>
      </c>
      <c r="Q6" s="3">
        <v>0.26</v>
      </c>
      <c r="R6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3">
        <v>7.9200000000000007E-2</v>
      </c>
      <c r="AB6" s="3">
        <v>4.4999999999999999E-4</v>
      </c>
      <c r="AC6">
        <v>8.3000000000000004E-2</v>
      </c>
      <c r="AD6">
        <v>4.2000000000000003E-2</v>
      </c>
      <c r="AE6" s="7">
        <f>12301*0.87</f>
        <v>10701.87</v>
      </c>
      <c r="AF6" s="7">
        <f>1298*0.87</f>
        <v>1129.26</v>
      </c>
      <c r="AG6" s="7">
        <f>13621*0.87</f>
        <v>11850.27</v>
      </c>
      <c r="AH6" s="7">
        <f>1933*0.87</f>
        <v>1681.71</v>
      </c>
    </row>
    <row r="10" spans="1:35" x14ac:dyDescent="0.3">
      <c r="AH10" s="2"/>
    </row>
    <row r="11" spans="1:35" x14ac:dyDescent="0.3">
      <c r="S11" s="1"/>
      <c r="T11" s="1"/>
      <c r="U11" s="1"/>
      <c r="V11" s="1"/>
      <c r="W11" s="1"/>
      <c r="X11" s="1"/>
      <c r="Y11" s="1"/>
      <c r="Z11" s="1"/>
    </row>
    <row r="12" spans="1:35" x14ac:dyDescent="0.3">
      <c r="S12" s="6"/>
      <c r="T12" s="1"/>
      <c r="U12" s="1"/>
      <c r="V12" s="1"/>
      <c r="W12" s="1"/>
      <c r="X12" s="1"/>
      <c r="Y12" s="1"/>
      <c r="Z12" s="1"/>
    </row>
    <row r="13" spans="1:35" x14ac:dyDescent="0.3">
      <c r="S13" s="6"/>
      <c r="T13" s="1"/>
      <c r="U13" s="1"/>
      <c r="V13" s="1"/>
      <c r="W13" s="1"/>
      <c r="X13" s="1"/>
      <c r="Y13" s="1"/>
      <c r="Z13" s="1"/>
    </row>
    <row r="14" spans="1:35" x14ac:dyDescent="0.3">
      <c r="S14" s="1"/>
      <c r="T14" s="1"/>
      <c r="U14" s="1"/>
      <c r="V14" s="1"/>
      <c r="W14" s="1"/>
      <c r="X14" s="1"/>
      <c r="Y14" s="1"/>
      <c r="Z14" s="1"/>
    </row>
    <row r="15" spans="1:35" x14ac:dyDescent="0.3">
      <c r="S15" s="1"/>
    </row>
    <row r="16" spans="1:35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2026-01-05T13:02:24Z</dcterms:modified>
</cp:coreProperties>
</file>