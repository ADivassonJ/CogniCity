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72F64A0B-8EF5-42C0-B8BD-EA4051DE49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3" i="1"/>
  <c r="Q5" i="1"/>
  <c r="C3" i="1"/>
  <c r="C2" i="1"/>
  <c r="Q2" i="1" s="1"/>
</calcChain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<sst xmlns="http://schemas.openxmlformats.org/spreadsheetml/2006/main" count="53" uniqueCount="49">
  <si>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</si>
  <si>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</si>
  <si>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</si>
  <si>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</si>
  <si>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</si>
  <si>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</si>
  <si>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</si>
  <si>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</si>
  <si>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</si>
  <si>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</si>
  <si>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</si>
  <si>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</si>
  <si>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</si>
  <si>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</si>
  <si>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</si>
  <si>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</si>
  <si>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</si>
  <si>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</si>
  <si>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</si>
  <si>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</si>
  <si>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</si>
  <si>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</si>
  <si>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</si>
  <si>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</si>
  <si>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</si>
  <si>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</si>
  <si>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</si>
  <si>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</si>
  <si>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</si>
  <si>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</si>
  <si>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</si>
  <si>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</si>
  <si>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</si>
  <si>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</si>
  <si>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</si>
  <si>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</si>
  <si>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</si>
  <si>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</si>
  <si>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</si>
  <si>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</si>
  <si>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</si>
  <si>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</si>
  <si>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</si>
  <si>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</si>
  <si>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</si>
  <si>
    <t>dist_wos_min</t>
  </si>
  <si>
    <t>dist_wos_max</t>
  </si>
  <si>
    <t>dist_poi_min</t>
  </si>
  <si>
    <t>dist_poi_max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</si>
</sst>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AD1" zoomScale="184" zoomScaleNormal="150" workbookViewId="0">
      <selection activeCell="AJ2" sqref="AJ2:AJ6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4" width="14" customWidth="1"/>
    <col min="35" max="35" width="11.109375" bestFit="1" customWidth="1"/>
    <col min="36" max="36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45</v>
      </c>
      <c r="AH1" t="s">
        <v>46</v>
      </c>
      <c r="AI1" t="s">
        <v>37</v>
      </c>
      <c r="AJ1" t="s">
        <v>38</v>
      </c>
      <c r="AK1" t="s">
        <v>47</v>
      </c>
      <c r="AL1" t="s">
        <v>48</v>
      </c>
    </row>
    <row r="2" spans="1:38" x14ac:dyDescent="0.3">
      <c r="A2" t="s">
        <v>5</v>
      </c>
      <c r="B2" t="s">
        <v>10</v>
      </c>
      <c r="C2" s="6">
        <f>5659*0.48</f>
        <v>2716.3199999999997</v>
      </c>
      <c r="D2" t="s">
        <v>4</v>
      </c>
      <c r="E2" s="8">
        <v>1</v>
      </c>
      <c r="F2" s="8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>
        <v>480</v>
      </c>
      <c r="N2">
        <v>180</v>
      </c>
      <c r="O2">
        <v>480</v>
      </c>
      <c r="P2">
        <v>240</v>
      </c>
      <c r="Q2" s="8">
        <f>(4939*0.48)/C2</f>
        <v>0.87276904046651349</v>
      </c>
      <c r="R2" s="11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9">
        <v>7.4399999999999994E-2</v>
      </c>
      <c r="AB2" s="9">
        <v>4.4999999999999999E-4</v>
      </c>
      <c r="AC2" s="10">
        <v>0.1</v>
      </c>
      <c r="AD2" s="10">
        <v>7.4999999999999997E-2</v>
      </c>
      <c r="AE2" s="7">
        <v>1215</v>
      </c>
      <c r="AF2" s="7">
        <v>1156.5999999999999</v>
      </c>
      <c r="AG2" s="7">
        <v>0</v>
      </c>
      <c r="AH2" s="7">
        <v>99999</v>
      </c>
      <c r="AI2" s="7">
        <v>1872</v>
      </c>
      <c r="AJ2" s="7">
        <v>1182</v>
      </c>
      <c r="AK2" s="7">
        <v>0</v>
      </c>
      <c r="AL2" s="7">
        <v>99999</v>
      </c>
    </row>
    <row r="3" spans="1:38" x14ac:dyDescent="0.3">
      <c r="A3" t="s">
        <v>6</v>
      </c>
      <c r="B3" t="s">
        <v>11</v>
      </c>
      <c r="C3" s="6">
        <f>5659*0.52</f>
        <v>2942.6800000000003</v>
      </c>
      <c r="D3" t="s">
        <v>4</v>
      </c>
      <c r="E3" s="8">
        <v>1</v>
      </c>
      <c r="F3" s="8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>
        <v>480</v>
      </c>
      <c r="N3">
        <v>180</v>
      </c>
      <c r="O3">
        <v>480</v>
      </c>
      <c r="P3">
        <v>240</v>
      </c>
      <c r="Q3" s="8">
        <f>(4939*0.52)/C3</f>
        <v>0.87276904046651349</v>
      </c>
      <c r="R3" s="11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9">
        <v>7.4399999999999994E-2</v>
      </c>
      <c r="AB3" s="9">
        <v>4.4999999999999999E-4</v>
      </c>
      <c r="AC3" s="10">
        <v>9.1999999999999998E-2</v>
      </c>
      <c r="AD3" s="10">
        <v>7.1999999999999995E-2</v>
      </c>
      <c r="AE3" s="7">
        <v>1215</v>
      </c>
      <c r="AF3" s="7">
        <v>1156.5999999999999</v>
      </c>
      <c r="AG3" s="7">
        <v>0</v>
      </c>
      <c r="AH3" s="7">
        <v>99999</v>
      </c>
      <c r="AI3" s="7">
        <v>1872</v>
      </c>
      <c r="AJ3" s="7">
        <v>1182</v>
      </c>
      <c r="AK3" s="7">
        <v>0</v>
      </c>
      <c r="AL3" s="7">
        <v>99999</v>
      </c>
    </row>
    <row r="4" spans="1:38" x14ac:dyDescent="0.3">
      <c r="A4" t="s">
        <v>7</v>
      </c>
      <c r="B4" t="s">
        <v>12</v>
      </c>
      <c r="C4" s="7">
        <v>1340</v>
      </c>
      <c r="D4" t="s">
        <v>4</v>
      </c>
      <c r="E4" s="7">
        <v>0</v>
      </c>
      <c r="F4" s="6">
        <v>0</v>
      </c>
      <c r="G4" s="11">
        <v>0</v>
      </c>
      <c r="H4" s="11">
        <v>0</v>
      </c>
      <c r="I4" s="11">
        <v>1</v>
      </c>
      <c r="J4" s="11">
        <v>0</v>
      </c>
      <c r="K4" s="11">
        <v>1</v>
      </c>
      <c r="L4" s="11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 s="11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9">
        <v>8.4000000000000005E-2</v>
      </c>
      <c r="AB4" s="9">
        <v>3.0000000000000001E-3</v>
      </c>
      <c r="AC4" s="10">
        <v>8.3000000000000004E-2</v>
      </c>
      <c r="AD4" s="10">
        <v>4.2000000000000003E-2</v>
      </c>
      <c r="AE4" s="7">
        <v>2708</v>
      </c>
      <c r="AF4" s="7">
        <v>1156.5999999999999</v>
      </c>
      <c r="AG4" s="7">
        <v>0</v>
      </c>
      <c r="AH4" s="7">
        <v>99999</v>
      </c>
      <c r="AI4" s="7">
        <v>1872</v>
      </c>
      <c r="AJ4" s="7">
        <v>1182</v>
      </c>
      <c r="AK4" s="7">
        <v>0</v>
      </c>
      <c r="AL4" s="7">
        <v>99999</v>
      </c>
    </row>
    <row r="5" spans="1:38" x14ac:dyDescent="0.3">
      <c r="A5" t="s">
        <v>8</v>
      </c>
      <c r="B5" t="s">
        <v>13</v>
      </c>
      <c r="C5" s="7">
        <v>2043</v>
      </c>
      <c r="D5" t="s">
        <v>4</v>
      </c>
      <c r="E5" s="8">
        <v>1</v>
      </c>
      <c r="F5" s="8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1</v>
      </c>
      <c r="M5">
        <v>480</v>
      </c>
      <c r="N5">
        <v>180</v>
      </c>
      <c r="O5">
        <v>480</v>
      </c>
      <c r="P5">
        <v>240</v>
      </c>
      <c r="Q5" s="8">
        <f>1906/C5</f>
        <v>0.9329417523250122</v>
      </c>
      <c r="R5" s="11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9">
        <v>7.0199999999999999E-2</v>
      </c>
      <c r="AB5" s="9">
        <v>7.5000000000000002E-4</v>
      </c>
      <c r="AC5" s="10">
        <v>0.1</v>
      </c>
      <c r="AD5" s="10">
        <v>6.7000000000000004E-2</v>
      </c>
      <c r="AE5" s="7">
        <v>1215</v>
      </c>
      <c r="AF5" s="7">
        <v>1156.5999999999999</v>
      </c>
      <c r="AG5" s="7">
        <v>0</v>
      </c>
      <c r="AH5" s="7">
        <v>99999</v>
      </c>
      <c r="AI5" s="7">
        <v>1872</v>
      </c>
      <c r="AJ5" s="7">
        <v>1182</v>
      </c>
      <c r="AK5" s="7">
        <v>0</v>
      </c>
      <c r="AL5" s="7">
        <v>99999</v>
      </c>
    </row>
    <row r="6" spans="1:38" x14ac:dyDescent="0.3">
      <c r="A6" t="s">
        <v>9</v>
      </c>
      <c r="B6" t="s">
        <v>14</v>
      </c>
      <c r="C6" s="7">
        <v>1045</v>
      </c>
      <c r="D6" t="s">
        <v>4</v>
      </c>
      <c r="E6" s="7">
        <v>1</v>
      </c>
      <c r="F6" s="8">
        <v>0</v>
      </c>
      <c r="G6" s="11">
        <v>1</v>
      </c>
      <c r="H6" s="11">
        <v>0</v>
      </c>
      <c r="I6" s="11">
        <v>0.71</v>
      </c>
      <c r="J6" s="11">
        <v>0.38</v>
      </c>
      <c r="K6" s="11">
        <v>0</v>
      </c>
      <c r="L6" s="11">
        <v>1</v>
      </c>
      <c r="M6">
        <v>480</v>
      </c>
      <c r="N6">
        <v>180</v>
      </c>
      <c r="O6">
        <v>480</v>
      </c>
      <c r="P6">
        <v>240</v>
      </c>
      <c r="Q6" s="8">
        <f>0.97</f>
        <v>0.97</v>
      </c>
      <c r="R6" s="11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9">
        <v>7.9200000000000007E-2</v>
      </c>
      <c r="AB6" s="9">
        <v>4.4999999999999999E-4</v>
      </c>
      <c r="AC6" s="10">
        <v>8.3000000000000004E-2</v>
      </c>
      <c r="AD6" s="10">
        <v>4.2000000000000003E-2</v>
      </c>
      <c r="AE6" s="7">
        <v>1253</v>
      </c>
      <c r="AF6" s="7">
        <v>1155</v>
      </c>
      <c r="AG6" s="7">
        <v>0</v>
      </c>
      <c r="AH6" s="7">
        <v>99999</v>
      </c>
      <c r="AI6" s="7">
        <v>1872</v>
      </c>
      <c r="AJ6" s="7">
        <v>1182</v>
      </c>
      <c r="AK6" s="7">
        <v>0</v>
      </c>
      <c r="AL6" s="7">
        <v>99999</v>
      </c>
    </row>
    <row r="10" spans="1:38" x14ac:dyDescent="0.3">
      <c r="AJ10" s="2"/>
    </row>
    <row r="11" spans="1:38" x14ac:dyDescent="0.3">
      <c r="S11" s="1"/>
      <c r="T11" s="1"/>
      <c r="U11" s="1"/>
      <c r="V11" s="1"/>
      <c r="W11" s="1"/>
      <c r="X11" s="1"/>
      <c r="Y11" s="1"/>
      <c r="Z11" s="1"/>
    </row>
    <row r="12" spans="1:38" x14ac:dyDescent="0.3">
      <c r="S12" s="5"/>
      <c r="T12" s="1"/>
      <c r="U12" s="1"/>
      <c r="V12" s="1"/>
      <c r="W12" s="1"/>
      <c r="X12" s="1"/>
      <c r="Y12" s="1"/>
      <c r="Z12" s="1"/>
    </row>
    <row r="13" spans="1:38" x14ac:dyDescent="0.3">
      <c r="S13" s="5"/>
      <c r="T13" s="1"/>
      <c r="U13" s="1"/>
      <c r="V13" s="1"/>
      <c r="W13" s="1"/>
      <c r="X13" s="1"/>
      <c r="Y13" s="1"/>
      <c r="Z13" s="1"/>
    </row>
    <row r="14" spans="1:38" x14ac:dyDescent="0.3">
      <c r="S14" s="1"/>
      <c r="T14" s="1"/>
      <c r="U14" s="1"/>
      <c r="V14" s="1"/>
      <c r="W14" s="1"/>
      <c r="X14" s="1"/>
      <c r="Y14" s="1"/>
      <c r="Z14" s="1"/>
    </row>
    <row r="15" spans="1:38" x14ac:dyDescent="0.3">
      <c r="S15" s="1"/>
    </row>
    <row r="16" spans="1:38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2025-12-27T02:17:52Z</dcterms:modified>
</cp:coreProperties>
</file>