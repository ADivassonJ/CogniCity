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Aradas\archetypes\"/>
    </mc:Choice>
  </mc:AlternateContent>
  <xr:revisionPtr revIDLastSave="0" documentId="13_ncr:1_{6CAA122A-A426-4C47-BFA8-F252521CA92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S8" i="1" s="1"/>
  <c r="P7" i="1"/>
  <c r="O7" i="1"/>
  <c r="X9" i="1"/>
  <c r="W9" i="1"/>
  <c r="X7" i="1"/>
  <c r="W7" i="1"/>
  <c r="M9" i="1"/>
  <c r="M7" i="1"/>
  <c r="N9" i="1"/>
  <c r="N7" i="1"/>
  <c r="T8" i="1"/>
  <c r="T4" i="1"/>
  <c r="S4" i="1"/>
</calcChain>
</file>

<file path=xl/sharedStrings.xml><?xml version="1.0" encoding="utf-8"?>
<sst xmlns="http://schemas.openxmlformats.org/spreadsheetml/2006/main" count="80" uniqueCount="45">
  <si>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</si>
  <si>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</si>
  <si>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</si>
  <si>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</si>
  <si>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</si>
  <si>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</si>
  <si>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</si>
  <si>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</si>
  <si>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</si>
  <si>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</si>
  <si>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</si>
  <si>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</si>
  <si>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</si>
  <si>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</si>
  <si>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</si>
  <si>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</si>
  <si>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</si>
  <si>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</si>
  <si>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</si>
  <si>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</si>
  <si>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</si>
  <si>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</si>
  <si>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</si>
  <si>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</si>
  <si>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</si>
  <si>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</si>
  <si>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</si>
  <si>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</si>
  <si>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</si>
  <si>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</si>
  <si>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</si>
  <si>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</si>
  <si>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</si>
  <si>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</si>
  <si>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</si>
  <si>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</si>
  <si>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</si>
  <si>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</si>
  <si>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</si>
  <si>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</si>
  <si>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</si>
  <si>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</si>
  <si>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CO2km_min</t>
  </si>
  <si>
    <t>CO2km_max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</si>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</sst>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  <xf numFmtId="164" fontId="0" fillId="3" borderId="0" xfId="0" applyNumberFormat="1" applyFill="1"/>
    <xf numFmtId="0" fontId="0" fillId="3" borderId="0" xfId="0" applyFill="1"/>
    <xf numFmtId="164" fontId="0" fillId="3" borderId="0" xfId="0" applyNumberFormat="1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2" width="10.6640625" customWidth="1"/>
    <col min="23" max="23" width="10.5546875" bestFit="1" customWidth="1"/>
    <col min="24" max="24" width="13" customWidth="1"/>
    <col min="25" max="25" width="7.88671875" bestFit="1" customWidth="1"/>
    <col min="26" max="26" width="10.109375" bestFit="1" customWidth="1"/>
    <col min="27" max="27" width="8.44140625" bestFit="1" customWidth="1"/>
    <col min="28" max="28" width="8.77734375" bestFit="1" customWidth="1"/>
    <col min="30" max="31" width="4" bestFit="1" customWidth="1"/>
  </cols>
  <sheetData>
    <row r="1" spans="1:28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42</v>
      </c>
      <c r="V1" s="1" t="s">
        <v>43</v>
      </c>
      <c r="W1" s="10" t="s">
        <v>22</v>
      </c>
      <c r="X1" s="10" t="s">
        <v>23</v>
      </c>
      <c r="Y1" s="1" t="s">
        <v>11</v>
      </c>
      <c r="Z1" s="1" t="s">
        <v>12</v>
      </c>
      <c r="AA1" s="1" t="s">
        <v>13</v>
      </c>
      <c r="AB1" s="1" t="s">
        <v>14</v>
      </c>
    </row>
    <row r="2" spans="1:28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0</v>
      </c>
      <c r="M2">
        <v>0</v>
      </c>
      <c r="N2">
        <v>0</v>
      </c>
      <c r="O2" s="13">
        <v>0</v>
      </c>
      <c r="P2" s="13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999999</v>
      </c>
      <c r="W2" s="12">
        <v>0</v>
      </c>
      <c r="X2" s="1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3.3000000000000002E-2</v>
      </c>
      <c r="L3" s="2">
        <v>0</v>
      </c>
      <c r="M3" s="2">
        <v>62.984000000000002</v>
      </c>
      <c r="N3" s="2">
        <v>2.94</v>
      </c>
      <c r="O3" s="11">
        <v>1.3420000000000001</v>
      </c>
      <c r="P3" s="11">
        <v>1.2190000000000001</v>
      </c>
      <c r="Q3" s="6">
        <v>9999</v>
      </c>
      <c r="R3" s="5">
        <v>0</v>
      </c>
      <c r="S3" s="8">
        <v>0</v>
      </c>
      <c r="T3" s="8">
        <v>0</v>
      </c>
      <c r="U3" s="8">
        <v>0</v>
      </c>
      <c r="V3" s="8">
        <v>999999</v>
      </c>
      <c r="W3" s="12">
        <v>85.105000000000004</v>
      </c>
      <c r="X3" s="12">
        <v>79.673000000000002</v>
      </c>
      <c r="Y3">
        <v>0</v>
      </c>
      <c r="Z3">
        <v>0</v>
      </c>
      <c r="AA3">
        <v>0</v>
      </c>
      <c r="AB3">
        <v>0</v>
      </c>
    </row>
    <row r="4" spans="1:28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0</v>
      </c>
      <c r="M4">
        <v>0</v>
      </c>
      <c r="N4">
        <v>0</v>
      </c>
      <c r="O4" s="11">
        <v>0.42799999999999999</v>
      </c>
      <c r="P4" s="11">
        <v>0.35099999999999998</v>
      </c>
      <c r="Q4" s="6">
        <v>9999</v>
      </c>
      <c r="R4" s="5">
        <v>0</v>
      </c>
      <c r="S4" s="9">
        <f>O4*0.5</f>
        <v>0.214</v>
      </c>
      <c r="T4" s="9">
        <f>P4*0.5</f>
        <v>0.17549999999999999</v>
      </c>
      <c r="U4" s="8">
        <v>0</v>
      </c>
      <c r="V4" s="8">
        <v>999999</v>
      </c>
      <c r="W4" s="12">
        <v>0</v>
      </c>
      <c r="X4" s="12">
        <v>0</v>
      </c>
      <c r="Y4">
        <v>80</v>
      </c>
      <c r="Z4">
        <v>10</v>
      </c>
      <c r="AA4">
        <v>60</v>
      </c>
      <c r="AB4">
        <v>100</v>
      </c>
    </row>
    <row r="5" spans="1:28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3.3000000000000002E-2</v>
      </c>
      <c r="L5" s="2">
        <v>0</v>
      </c>
      <c r="M5" s="2">
        <v>53.112000000000002</v>
      </c>
      <c r="N5" s="2">
        <v>3.9049999999999998</v>
      </c>
      <c r="O5" s="11">
        <v>1.0920000000000001</v>
      </c>
      <c r="P5" s="11">
        <v>1.0780000000000001</v>
      </c>
      <c r="Q5" s="6">
        <v>9999</v>
      </c>
      <c r="R5" s="5">
        <v>0</v>
      </c>
      <c r="S5" s="8">
        <v>0</v>
      </c>
      <c r="T5" s="8">
        <v>0</v>
      </c>
      <c r="U5" s="8">
        <v>0</v>
      </c>
      <c r="V5" s="8">
        <v>999999</v>
      </c>
      <c r="W5" s="12">
        <v>75.765000000000001</v>
      </c>
      <c r="X5" s="12">
        <v>74.77</v>
      </c>
      <c r="Y5">
        <v>0</v>
      </c>
      <c r="Z5">
        <v>0</v>
      </c>
      <c r="AA5">
        <v>0</v>
      </c>
      <c r="AB5">
        <v>0</v>
      </c>
    </row>
    <row r="6" spans="1:28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0</v>
      </c>
      <c r="M6" s="2">
        <v>43.322000000000003</v>
      </c>
      <c r="N6" s="2">
        <v>2.206</v>
      </c>
      <c r="O6" s="11">
        <v>0.94199999999999995</v>
      </c>
      <c r="P6" s="11">
        <v>0.95399999999999996</v>
      </c>
      <c r="Q6" s="6">
        <v>9999</v>
      </c>
      <c r="R6" s="5">
        <v>0</v>
      </c>
      <c r="S6" s="8">
        <v>0</v>
      </c>
      <c r="T6" s="8">
        <v>0</v>
      </c>
      <c r="U6" s="8">
        <v>0</v>
      </c>
      <c r="V6" s="8">
        <v>999999</v>
      </c>
      <c r="W6" s="12">
        <v>17.8</v>
      </c>
      <c r="X6" s="12">
        <v>39.914999999999999</v>
      </c>
      <c r="Y6">
        <v>0</v>
      </c>
      <c r="Z6">
        <v>0</v>
      </c>
      <c r="AA6">
        <v>0</v>
      </c>
      <c r="AB6">
        <v>0</v>
      </c>
    </row>
    <row r="7" spans="1:28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0</v>
      </c>
      <c r="L7" s="2">
        <v>0</v>
      </c>
      <c r="M7" s="7">
        <f>293.323/30</f>
        <v>9.7774333333333328</v>
      </c>
      <c r="N7" s="7">
        <f>38.284/30</f>
        <v>1.2761333333333333</v>
      </c>
      <c r="O7" s="14">
        <f>5.45/30</f>
        <v>0.18166666666666667</v>
      </c>
      <c r="P7" s="14">
        <f>5.317/30</f>
        <v>0.17723333333333333</v>
      </c>
      <c r="Q7" s="6">
        <v>9999</v>
      </c>
      <c r="R7" s="5">
        <v>0</v>
      </c>
      <c r="S7" s="8">
        <v>0</v>
      </c>
      <c r="T7" s="8">
        <v>0</v>
      </c>
      <c r="U7" s="8">
        <v>0</v>
      </c>
      <c r="V7" s="8">
        <v>999999</v>
      </c>
      <c r="W7" s="12">
        <f>310.302/30</f>
        <v>10.343400000000001</v>
      </c>
      <c r="X7" s="12">
        <f>342.664/30</f>
        <v>11.422133333333333</v>
      </c>
      <c r="Y7">
        <v>0</v>
      </c>
      <c r="Z7">
        <v>0</v>
      </c>
      <c r="AA7">
        <v>0</v>
      </c>
      <c r="AB7">
        <v>0</v>
      </c>
    </row>
    <row r="8" spans="1:28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0</v>
      </c>
      <c r="L8" s="2">
        <v>0</v>
      </c>
      <c r="M8">
        <v>0</v>
      </c>
      <c r="N8">
        <v>0</v>
      </c>
      <c r="O8" s="11">
        <f>2.883/30</f>
        <v>9.6100000000000005E-2</v>
      </c>
      <c r="P8" s="11">
        <f>2.742/30</f>
        <v>9.1399999999999995E-2</v>
      </c>
      <c r="Q8" s="6">
        <v>9999</v>
      </c>
      <c r="R8" s="5">
        <v>0</v>
      </c>
      <c r="S8" s="9">
        <f>O8*0.5</f>
        <v>4.8050000000000002E-2</v>
      </c>
      <c r="T8" s="9">
        <f>P8*0.5</f>
        <v>4.5699999999999998E-2</v>
      </c>
      <c r="U8" s="8">
        <v>0</v>
      </c>
      <c r="V8" s="8">
        <v>999999</v>
      </c>
      <c r="W8" s="12">
        <v>0</v>
      </c>
      <c r="X8" s="12">
        <v>0</v>
      </c>
      <c r="Y8">
        <v>80</v>
      </c>
      <c r="Z8">
        <v>10</v>
      </c>
      <c r="AA8">
        <v>60</v>
      </c>
      <c r="AB8">
        <v>100</v>
      </c>
    </row>
    <row r="9" spans="1:28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0</v>
      </c>
      <c r="L9" s="2">
        <v>0</v>
      </c>
      <c r="M9" s="7">
        <f>357.554/30</f>
        <v>11.918466666666665</v>
      </c>
      <c r="N9" s="7">
        <f>68.396/30</f>
        <v>2.2798666666666665</v>
      </c>
      <c r="O9" s="14">
        <f>8.398/30</f>
        <v>0.27993333333333331</v>
      </c>
      <c r="P9" s="14">
        <f>8.473/30</f>
        <v>0.28243333333333337</v>
      </c>
      <c r="Q9" s="6">
        <v>9999</v>
      </c>
      <c r="R9" s="5">
        <v>0</v>
      </c>
      <c r="S9" s="8">
        <v>0</v>
      </c>
      <c r="T9" s="8">
        <v>0</v>
      </c>
      <c r="U9" s="8">
        <v>0</v>
      </c>
      <c r="V9" s="8">
        <v>999999</v>
      </c>
      <c r="W9" s="12">
        <f>102.678/30</f>
        <v>3.4226000000000001</v>
      </c>
      <c r="X9" s="12">
        <f>196.822/30</f>
        <v>6.5607333333333333</v>
      </c>
      <c r="Y9">
        <v>0</v>
      </c>
      <c r="Z9">
        <v>0</v>
      </c>
      <c r="AA9">
        <v>0</v>
      </c>
      <c r="AB9">
        <v>0</v>
      </c>
    </row>
    <row r="10" spans="1:28" x14ac:dyDescent="0.3">
      <c r="A10" t="s">
        <v>44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0.42799999999999999</v>
      </c>
      <c r="P10" s="2">
        <v>0.35099999999999998</v>
      </c>
      <c r="Q10" s="2">
        <v>9999</v>
      </c>
      <c r="R10">
        <v>0</v>
      </c>
      <c r="S10">
        <v>0.214</v>
      </c>
      <c r="T10">
        <v>0.17549999999999999</v>
      </c>
      <c r="U10">
        <v>0</v>
      </c>
      <c r="V10">
        <v>999999</v>
      </c>
      <c r="W10">
        <v>0</v>
      </c>
      <c r="X10">
        <v>0</v>
      </c>
      <c r="Y10">
        <v>80</v>
      </c>
      <c r="Z10">
        <v>10</v>
      </c>
      <c r="AA10">
        <v>60</v>
      </c>
      <c r="AB10">
        <v>100</v>
      </c>
    </row>
    <row r="11" spans="1:28" x14ac:dyDescent="0.3">
      <c r="Q11"/>
      <c r="R11"/>
    </row>
    <row r="12" spans="1:28" x14ac:dyDescent="0.3">
      <c r="Q12"/>
      <c r="R12"/>
    </row>
    <row r="13" spans="1:28" x14ac:dyDescent="0.3">
      <c r="Q13"/>
      <c r="R13"/>
    </row>
    <row r="14" spans="1:28" x14ac:dyDescent="0.3">
      <c r="Q14"/>
      <c r="R14"/>
    </row>
    <row r="15" spans="1:28" x14ac:dyDescent="0.3">
      <c r="Q15"/>
      <c r="R15"/>
    </row>
    <row r="16" spans="1:28" x14ac:dyDescent="0.3">
      <c r="Q16"/>
      <c r="R16"/>
    </row>
    <row r="17" customFormat="1" x14ac:dyDescent="0.3"/>
    <row r="18" customFormat="1" x14ac:dyDescent="0.3"/>
  </sheetData>
  <conditionalFormatting sqref="A7:J9">
    <cfRule type="cellIs" dxfId="8" priority="17" operator="equal">
      <formula>0</formula>
    </cfRule>
  </conditionalFormatting>
  <conditionalFormatting sqref="J1:XFD1 A1:I6 M2:XFD2 J2:J6 U3:V9 S4:T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T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9 S10:V10">
    <cfRule type="cellIs" dxfId="1" priority="1" operator="equal">
      <formula>0</formula>
    </cfRule>
  </conditionalFormatting>
  <conditionalFormatting sqref="W3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2026-02-11T18:16:09Z</dcterms:modified>
</cp:coreProperties>
</file>