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Oog in Al\archetypes\"/>
    </mc:Choice>
  </mc:AlternateContent>
  <xr:revisionPtr revIDLastSave="0" documentId="13_ncr:1_{6E589978-34E8-44C0-8691-13B64E80D1CA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8" i="1"/>
  <c r="C9" i="1"/>
  <c r="C7" i="1"/>
  <c r="C6" i="1"/>
  <c r="C5" i="1"/>
  <c r="C4" i="1"/>
</calcChain>
</file>

<file path=xl/sharedStrings.xml><?xml version="1.0" encoding="utf-8"?>
<sst xmlns="http://schemas.openxmlformats.org/spreadsheetml/2006/main" count="39" uniqueCount="27">
  <si>
    <t>name</t>
  </si>
  <si>
    <t>presence</t>
  </si>
  <si>
    <t>state</t>
  </si>
  <si>
    <t>description</t>
  </si>
  <si>
    <t>active</t>
  </si>
  <si>
    <t>*</t>
  </si>
  <si>
    <t>f_arch_0</t>
  </si>
  <si>
    <t>f_arch_1</t>
  </si>
  <si>
    <t>f_arch_2</t>
  </si>
  <si>
    <t>c_arch_0</t>
  </si>
  <si>
    <t>c_arch_1</t>
  </si>
  <si>
    <t>c_arch_2</t>
  </si>
  <si>
    <t>c_arch_3</t>
  </si>
  <si>
    <t>c_arch_4</t>
  </si>
  <si>
    <t>Unipersonal home</t>
  </si>
  <si>
    <t>Egemonic family</t>
  </si>
  <si>
    <t>Single parenthood (pather)</t>
  </si>
  <si>
    <t>f_arch_3</t>
  </si>
  <si>
    <t>Single parenthood (mother)</t>
  </si>
  <si>
    <t>f_arch_4</t>
  </si>
  <si>
    <t>Polinuclear home (youth)</t>
  </si>
  <si>
    <t>f_arch_5</t>
  </si>
  <si>
    <t>Ageing family</t>
  </si>
  <si>
    <t>f_arch_6</t>
  </si>
  <si>
    <t>Large family</t>
  </si>
  <si>
    <t>f_arch_7</t>
  </si>
  <si>
    <t>DINK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</si>
</sst>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2" borderId="0" xfId="0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131" zoomScaleNormal="131" workbookViewId="0">
      <selection activeCell="D8" sqref="D8"/>
    </sheetView>
  </sheetViews>
  <sheetFormatPr baseColWidth="10" defaultColWidth="8.88671875" defaultRowHeight="14.4" x14ac:dyDescent="0.3"/>
  <cols>
    <col min="1" max="1" width="13.21875" bestFit="1" customWidth="1"/>
    <col min="2" max="2" width="25.21875" bestFit="1" customWidth="1"/>
    <col min="3" max="3" width="8.44140625" bestFit="1" customWidth="1"/>
    <col min="5" max="8" width="13.44140625" style="1" bestFit="1" customWidth="1"/>
    <col min="9" max="9" width="15.6640625" style="1" bestFit="1" customWidth="1"/>
    <col min="10" max="11" width="15.109375" bestFit="1" customWidth="1"/>
    <col min="12" max="13" width="13.44140625" bestFit="1" customWidth="1"/>
    <col min="14" max="17" width="14.44140625" bestFit="1" customWidth="1"/>
  </cols>
  <sheetData>
    <row r="1" spans="1:9" x14ac:dyDescent="0.3">
      <c r="A1" t="s">
        <v>0</v>
      </c>
      <c r="B1" t="s">
        <v>3</v>
      </c>
      <c r="C1" s="2" t="s">
        <v>1</v>
      </c>
      <c r="D1" t="s">
        <v>2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3">
      <c r="A2" t="s">
        <v>6</v>
      </c>
      <c r="B2" t="s">
        <v>14</v>
      </c>
      <c r="C2" s="3">
        <v>325</v>
      </c>
      <c r="D2" t="s">
        <v>4</v>
      </c>
      <c r="E2" t="s">
        <v>5</v>
      </c>
      <c r="F2" t="s">
        <v>5</v>
      </c>
      <c r="G2"/>
      <c r="H2" t="s">
        <v>5</v>
      </c>
      <c r="I2" t="s">
        <v>5</v>
      </c>
    </row>
    <row r="3" spans="1:9" x14ac:dyDescent="0.3">
      <c r="A3" t="s">
        <v>7</v>
      </c>
      <c r="B3" t="s">
        <v>15</v>
      </c>
      <c r="C3" s="3">
        <f>770*(18175/(18175+14270))*(684844/(684844+291411))</f>
        <v>302.58385404581742</v>
      </c>
      <c r="D3" t="s">
        <v>4</v>
      </c>
      <c r="E3">
        <v>1</v>
      </c>
      <c r="F3">
        <v>1</v>
      </c>
      <c r="G3">
        <v>2</v>
      </c>
      <c r="H3"/>
      <c r="I3"/>
    </row>
    <row r="4" spans="1:9" x14ac:dyDescent="0.3">
      <c r="A4" t="s">
        <v>8</v>
      </c>
      <c r="B4" t="s">
        <v>16</v>
      </c>
      <c r="C4" s="3">
        <f>770*(14270/(18175+14270))*0.5</f>
        <v>169.33117583603021</v>
      </c>
      <c r="D4" t="s">
        <v>4</v>
      </c>
      <c r="E4">
        <v>1</v>
      </c>
      <c r="F4"/>
      <c r="G4">
        <v>2</v>
      </c>
      <c r="H4"/>
      <c r="I4"/>
    </row>
    <row r="5" spans="1:9" x14ac:dyDescent="0.3">
      <c r="A5" t="s">
        <v>17</v>
      </c>
      <c r="B5" t="s">
        <v>18</v>
      </c>
      <c r="C5" s="3">
        <f>770*(14270/(18175+14270))*0.5</f>
        <v>169.33117583603021</v>
      </c>
      <c r="D5" t="s">
        <v>4</v>
      </c>
      <c r="E5"/>
      <c r="F5">
        <v>1</v>
      </c>
      <c r="G5">
        <v>2</v>
      </c>
      <c r="H5"/>
      <c r="I5"/>
    </row>
    <row r="6" spans="1:9" x14ac:dyDescent="0.3">
      <c r="A6" t="s">
        <v>19</v>
      </c>
      <c r="B6" t="s">
        <v>20</v>
      </c>
      <c r="C6" s="3">
        <f>440*(1740/(52620+1740))</f>
        <v>14.083885209713022</v>
      </c>
      <c r="D6" t="s">
        <v>4</v>
      </c>
      <c r="E6"/>
      <c r="F6"/>
      <c r="G6"/>
      <c r="H6"/>
      <c r="I6" t="s">
        <v>5</v>
      </c>
    </row>
    <row r="7" spans="1:9" x14ac:dyDescent="0.3">
      <c r="A7" t="s">
        <v>21</v>
      </c>
      <c r="B7" t="s">
        <v>22</v>
      </c>
      <c r="C7" s="3">
        <f>440*(52620/(52620+1740))*(88115/209920)</f>
        <v>178.78048044372204</v>
      </c>
      <c r="D7" t="s">
        <v>4</v>
      </c>
      <c r="E7"/>
      <c r="F7"/>
      <c r="G7"/>
      <c r="H7">
        <v>2</v>
      </c>
      <c r="I7"/>
    </row>
    <row r="8" spans="1:9" x14ac:dyDescent="0.3">
      <c r="A8" t="s">
        <v>23</v>
      </c>
      <c r="B8" t="s">
        <v>24</v>
      </c>
      <c r="C8" s="3">
        <f>770*(18175/(18175+14270))*((291411/(684844+291411)))</f>
        <v>128.75379428212221</v>
      </c>
      <c r="D8" t="s">
        <v>4</v>
      </c>
      <c r="E8">
        <v>1</v>
      </c>
      <c r="F8">
        <v>1</v>
      </c>
      <c r="G8" t="s">
        <v>5</v>
      </c>
      <c r="H8"/>
      <c r="I8"/>
    </row>
    <row r="9" spans="1:9" x14ac:dyDescent="0.3">
      <c r="A9" t="s">
        <v>25</v>
      </c>
      <c r="B9" t="s">
        <v>26</v>
      </c>
      <c r="C9" s="3">
        <f>440*(52620/(52620+1740))*(1-(88115/209920))</f>
        <v>247.13563434656493</v>
      </c>
      <c r="D9" t="s">
        <v>4</v>
      </c>
      <c r="E9">
        <v>1</v>
      </c>
      <c r="F9">
        <v>1</v>
      </c>
      <c r="G9"/>
      <c r="H9"/>
      <c r="I9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2026-09-15T06:37:51Z</dcterms:modified>
</cp:coreProperties>
</file>