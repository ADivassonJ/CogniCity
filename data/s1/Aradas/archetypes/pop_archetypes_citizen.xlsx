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1\Aradas\archetypes\"/>
    </mc:Choice>
  </mc:AlternateContent>
  <xr:revisionPtr revIDLastSave="0" documentId="13_ncr:1_{B19B3258-FAC8-4E98-BAB0-B5FEBA4B46C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C3" i="1"/>
  <c r="C2" i="1"/>
</calcChain>
</file>

<file path=xl/sharedStrings.xml><?xml version="1.0" encoding="utf-8"?>
<sst xmlns="http://schemas.openxmlformats.org/spreadsheetml/2006/main" count="53" uniqueCount="49">
  <si>
    <t>name</t>
  </si>
  <si>
    <t>description</t>
  </si>
  <si>
    <t>presence</t>
  </si>
  <si>
    <t>state</t>
  </si>
  <si>
    <t>active</t>
  </si>
  <si>
    <t>c_arch_0</t>
  </si>
  <si>
    <t>c_arch_1</t>
  </si>
  <si>
    <t>c_arch_2</t>
  </si>
  <si>
    <t>c_arch_3</t>
  </si>
  <si>
    <t>c_arch_4</t>
  </si>
  <si>
    <t>adult male</t>
  </si>
  <si>
    <t>adult female</t>
  </si>
  <si>
    <t>child</t>
  </si>
  <si>
    <t>elderly</t>
  </si>
  <si>
    <t>youth</t>
  </si>
  <si>
    <t>Dutties_amount_mu</t>
  </si>
  <si>
    <t>Dutties_amount_sigma</t>
  </si>
  <si>
    <t>Dutties_amount_min</t>
  </si>
  <si>
    <t>Dutties_amount_max</t>
  </si>
  <si>
    <t>Dutties_time_mu</t>
  </si>
  <si>
    <t>Dutties_time_sigma</t>
  </si>
  <si>
    <t>Dutties_time_min</t>
  </si>
  <si>
    <t>Dutties_time_max</t>
  </si>
  <si>
    <t>WoS_time_mu</t>
  </si>
  <si>
    <t>WoS_time_sigma</t>
  </si>
  <si>
    <t>WoS_time_max</t>
  </si>
  <si>
    <t>WoS_time_min</t>
  </si>
  <si>
    <t>WoS_fixed_mu</t>
  </si>
  <si>
    <t>WoS_fixed_sigma</t>
  </si>
  <si>
    <t>WoS_fixed_min</t>
  </si>
  <si>
    <t>WoS_fixed_max</t>
  </si>
  <si>
    <t>walk_speed_mu</t>
  </si>
  <si>
    <t>walk_speed_sigma</t>
  </si>
  <si>
    <t>walk_speed_max</t>
  </si>
  <si>
    <t>walk_speed_min</t>
  </si>
  <si>
    <t>dist_wos_mu</t>
  </si>
  <si>
    <t>dist_wos_sigma</t>
  </si>
  <si>
    <t>dist_poi_mu</t>
  </si>
  <si>
    <t>dist_poi_sigma</t>
  </si>
  <si>
    <t>independent_type_mu</t>
  </si>
  <si>
    <t>independent_type_sigma</t>
  </si>
  <si>
    <t>independent_type_max</t>
  </si>
  <si>
    <t>independent_type_min</t>
  </si>
  <si>
    <t>homestay_mu</t>
  </si>
  <si>
    <t>homestay_sigma</t>
  </si>
  <si>
    <t>dist_wos_min</t>
  </si>
  <si>
    <t>dist_wos_max</t>
  </si>
  <si>
    <t>dist_poi_min</t>
  </si>
  <si>
    <t>dist_poi_max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</si>
</sst>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1" fontId="0" fillId="2" borderId="0" xfId="0" applyNumberFormat="1" applyFill="1"/>
    <xf numFmtId="0" fontId="0" fillId="2" borderId="0" xfId="0" applyFill="1"/>
    <xf numFmtId="164" fontId="0" fillId="2" borderId="0" xfId="0" applyNumberFormat="1" applyFill="1"/>
    <xf numFmtId="164" fontId="0" fillId="3" borderId="0" xfId="0" applyNumberForma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6"/>
  <sheetViews>
    <sheetView tabSelected="1" topLeftCell="M1" zoomScale="184" zoomScaleNormal="150" workbookViewId="0">
      <selection activeCell="Q6" sqref="Q6"/>
    </sheetView>
  </sheetViews>
  <sheetFormatPr baseColWidth="10" defaultColWidth="8.88671875" defaultRowHeight="14.4" x14ac:dyDescent="0.3"/>
  <cols>
    <col min="1" max="1" width="8.44140625" bestFit="1" customWidth="1"/>
    <col min="2" max="2" width="11.33203125" bestFit="1" customWidth="1"/>
    <col min="3" max="3" width="8.33203125" customWidth="1"/>
    <col min="4" max="4" width="5.88671875" customWidth="1"/>
    <col min="5" max="5" width="14" bestFit="1" customWidth="1"/>
    <col min="6" max="6" width="16" bestFit="1" customWidth="1"/>
    <col min="7" max="7" width="14.6640625" bestFit="1" customWidth="1"/>
    <col min="8" max="8" width="14.44140625" bestFit="1" customWidth="1"/>
    <col min="9" max="9" width="13.33203125" bestFit="1" customWidth="1"/>
    <col min="10" max="10" width="15.5546875" bestFit="1" customWidth="1"/>
    <col min="11" max="11" width="13.6640625" bestFit="1" customWidth="1"/>
    <col min="12" max="12" width="14.33203125" bestFit="1" customWidth="1"/>
    <col min="13" max="13" width="13.33203125" bestFit="1" customWidth="1"/>
    <col min="14" max="14" width="15.33203125" bestFit="1" customWidth="1"/>
    <col min="15" max="18" width="14.44140625" customWidth="1"/>
    <col min="19" max="19" width="17.6640625" customWidth="1"/>
    <col min="20" max="20" width="13.6640625" customWidth="1"/>
    <col min="21" max="21" width="18.33203125" customWidth="1"/>
    <col min="22" max="26" width="18.6640625" customWidth="1"/>
    <col min="27" max="27" width="14.109375" bestFit="1" customWidth="1"/>
    <col min="28" max="28" width="16.33203125" bestFit="1" customWidth="1"/>
    <col min="29" max="29" width="15" bestFit="1" customWidth="1"/>
    <col min="30" max="30" width="14.6640625" bestFit="1" customWidth="1"/>
    <col min="31" max="31" width="11.6640625" bestFit="1" customWidth="1"/>
    <col min="32" max="32" width="14" bestFit="1" customWidth="1"/>
    <col min="33" max="34" width="14" customWidth="1"/>
    <col min="35" max="35" width="11.109375" bestFit="1" customWidth="1"/>
    <col min="36" max="36" width="13.3320312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39</v>
      </c>
      <c r="F1" t="s">
        <v>40</v>
      </c>
      <c r="G1" t="s">
        <v>41</v>
      </c>
      <c r="H1" t="s">
        <v>42</v>
      </c>
      <c r="I1" t="s">
        <v>27</v>
      </c>
      <c r="J1" t="s">
        <v>28</v>
      </c>
      <c r="K1" t="s">
        <v>29</v>
      </c>
      <c r="L1" t="s">
        <v>30</v>
      </c>
      <c r="M1" t="s">
        <v>23</v>
      </c>
      <c r="N1" t="s">
        <v>24</v>
      </c>
      <c r="O1" t="s">
        <v>25</v>
      </c>
      <c r="P1" t="s">
        <v>26</v>
      </c>
      <c r="Q1" t="s">
        <v>43</v>
      </c>
      <c r="R1" t="s">
        <v>44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45</v>
      </c>
      <c r="AH1" t="s">
        <v>46</v>
      </c>
      <c r="AI1" t="s">
        <v>37</v>
      </c>
      <c r="AJ1" t="s">
        <v>38</v>
      </c>
      <c r="AK1" t="s">
        <v>47</v>
      </c>
      <c r="AL1" t="s">
        <v>48</v>
      </c>
    </row>
    <row r="2" spans="1:38" x14ac:dyDescent="0.3">
      <c r="A2" t="s">
        <v>5</v>
      </c>
      <c r="B2" t="s">
        <v>10</v>
      </c>
      <c r="C2" s="6">
        <f>5659*0.48</f>
        <v>2716.3199999999997</v>
      </c>
      <c r="D2" t="s">
        <v>4</v>
      </c>
      <c r="E2" s="8">
        <v>1</v>
      </c>
      <c r="F2" s="8">
        <v>0</v>
      </c>
      <c r="G2" s="11">
        <v>1</v>
      </c>
      <c r="H2" s="11">
        <v>1</v>
      </c>
      <c r="I2" s="11">
        <v>0</v>
      </c>
      <c r="J2" s="11">
        <v>0</v>
      </c>
      <c r="K2" s="11">
        <v>0</v>
      </c>
      <c r="L2" s="11">
        <v>0</v>
      </c>
      <c r="M2">
        <v>480</v>
      </c>
      <c r="N2">
        <v>180</v>
      </c>
      <c r="O2">
        <v>480</v>
      </c>
      <c r="P2">
        <v>240</v>
      </c>
      <c r="Q2" s="8">
        <v>0.12723095953348651</v>
      </c>
      <c r="R2" s="11">
        <v>0</v>
      </c>
      <c r="S2" s="4">
        <v>2.06</v>
      </c>
      <c r="T2" s="3">
        <v>0.02</v>
      </c>
      <c r="U2">
        <v>0</v>
      </c>
      <c r="V2">
        <v>99</v>
      </c>
      <c r="W2">
        <v>30</v>
      </c>
      <c r="X2">
        <v>15</v>
      </c>
      <c r="Y2">
        <v>15</v>
      </c>
      <c r="Z2">
        <v>120</v>
      </c>
      <c r="AA2" s="9">
        <v>7.4399999999999994E-2</v>
      </c>
      <c r="AB2" s="9">
        <v>4.4999999999999999E-4</v>
      </c>
      <c r="AC2" s="10">
        <v>0.1</v>
      </c>
      <c r="AD2" s="10">
        <v>7.4999999999999997E-2</v>
      </c>
      <c r="AE2" s="7">
        <v>1215</v>
      </c>
      <c r="AF2" s="7">
        <v>1156.5999999999999</v>
      </c>
      <c r="AG2" s="7">
        <v>0</v>
      </c>
      <c r="AH2" s="7">
        <v>99999</v>
      </c>
      <c r="AI2" s="7">
        <v>1872</v>
      </c>
      <c r="AJ2" s="7">
        <v>1182</v>
      </c>
      <c r="AK2" s="7">
        <v>0</v>
      </c>
      <c r="AL2" s="7">
        <v>99999</v>
      </c>
    </row>
    <row r="3" spans="1:38" x14ac:dyDescent="0.3">
      <c r="A3" t="s">
        <v>6</v>
      </c>
      <c r="B3" t="s">
        <v>11</v>
      </c>
      <c r="C3" s="6">
        <f>5659*0.52</f>
        <v>2942.6800000000003</v>
      </c>
      <c r="D3" t="s">
        <v>4</v>
      </c>
      <c r="E3" s="8">
        <v>1</v>
      </c>
      <c r="F3" s="8">
        <v>0</v>
      </c>
      <c r="G3" s="11">
        <v>1</v>
      </c>
      <c r="H3" s="11">
        <v>1</v>
      </c>
      <c r="I3" s="11">
        <v>0</v>
      </c>
      <c r="J3" s="11">
        <v>0</v>
      </c>
      <c r="K3" s="11">
        <v>0</v>
      </c>
      <c r="L3" s="11">
        <v>0</v>
      </c>
      <c r="M3">
        <v>480</v>
      </c>
      <c r="N3">
        <v>180</v>
      </c>
      <c r="O3">
        <v>480</v>
      </c>
      <c r="P3">
        <v>240</v>
      </c>
      <c r="Q3" s="8">
        <v>0.12723095953348651</v>
      </c>
      <c r="R3" s="11">
        <v>0</v>
      </c>
      <c r="S3" s="4">
        <v>2.58</v>
      </c>
      <c r="T3" s="3">
        <v>2.7E-2</v>
      </c>
      <c r="U3">
        <v>0</v>
      </c>
      <c r="V3">
        <v>99</v>
      </c>
      <c r="W3">
        <v>30</v>
      </c>
      <c r="X3">
        <v>15</v>
      </c>
      <c r="Y3">
        <v>15</v>
      </c>
      <c r="Z3">
        <v>120</v>
      </c>
      <c r="AA3" s="9">
        <v>7.4399999999999994E-2</v>
      </c>
      <c r="AB3" s="9">
        <v>4.4999999999999999E-4</v>
      </c>
      <c r="AC3" s="10">
        <v>9.1999999999999998E-2</v>
      </c>
      <c r="AD3" s="10">
        <v>7.1999999999999995E-2</v>
      </c>
      <c r="AE3" s="7">
        <v>1215</v>
      </c>
      <c r="AF3" s="7">
        <v>1156.5999999999999</v>
      </c>
      <c r="AG3" s="7">
        <v>0</v>
      </c>
      <c r="AH3" s="7">
        <v>99999</v>
      </c>
      <c r="AI3" s="7">
        <v>1872</v>
      </c>
      <c r="AJ3" s="7">
        <v>1182</v>
      </c>
      <c r="AK3" s="7">
        <v>0</v>
      </c>
      <c r="AL3" s="7">
        <v>99999</v>
      </c>
    </row>
    <row r="4" spans="1:38" x14ac:dyDescent="0.3">
      <c r="A4" t="s">
        <v>7</v>
      </c>
      <c r="B4" t="s">
        <v>12</v>
      </c>
      <c r="C4" s="7">
        <v>1340</v>
      </c>
      <c r="D4" t="s">
        <v>4</v>
      </c>
      <c r="E4" s="7">
        <v>0</v>
      </c>
      <c r="F4" s="6">
        <v>0</v>
      </c>
      <c r="G4" s="11">
        <v>0</v>
      </c>
      <c r="H4" s="11">
        <v>0</v>
      </c>
      <c r="I4" s="11">
        <v>1</v>
      </c>
      <c r="J4" s="11">
        <v>0</v>
      </c>
      <c r="K4" s="11">
        <v>1</v>
      </c>
      <c r="L4" s="11">
        <v>1</v>
      </c>
      <c r="M4">
        <v>360</v>
      </c>
      <c r="N4">
        <v>30</v>
      </c>
      <c r="O4">
        <v>480</v>
      </c>
      <c r="P4">
        <v>360</v>
      </c>
      <c r="Q4" s="7">
        <v>0</v>
      </c>
      <c r="R4" s="11">
        <v>0</v>
      </c>
      <c r="S4" s="4">
        <v>1.675</v>
      </c>
      <c r="T4" s="3">
        <v>4.2999999999999997E-2</v>
      </c>
      <c r="U4">
        <v>0</v>
      </c>
      <c r="V4">
        <v>99</v>
      </c>
      <c r="W4">
        <v>60</v>
      </c>
      <c r="X4">
        <v>15</v>
      </c>
      <c r="Y4">
        <v>15</v>
      </c>
      <c r="Z4">
        <v>120</v>
      </c>
      <c r="AA4" s="9">
        <v>8.4000000000000005E-2</v>
      </c>
      <c r="AB4" s="9">
        <v>3.0000000000000001E-3</v>
      </c>
      <c r="AC4" s="10">
        <v>8.3000000000000004E-2</v>
      </c>
      <c r="AD4" s="10">
        <v>4.2000000000000003E-2</v>
      </c>
      <c r="AE4" s="7">
        <v>2708</v>
      </c>
      <c r="AF4" s="7">
        <v>1156.5999999999999</v>
      </c>
      <c r="AG4" s="7">
        <v>0</v>
      </c>
      <c r="AH4" s="7">
        <v>99999</v>
      </c>
      <c r="AI4" s="7">
        <v>1872</v>
      </c>
      <c r="AJ4" s="7">
        <v>1182</v>
      </c>
      <c r="AK4" s="7">
        <v>0</v>
      </c>
      <c r="AL4" s="7">
        <v>99999</v>
      </c>
    </row>
    <row r="5" spans="1:38" x14ac:dyDescent="0.3">
      <c r="A5" t="s">
        <v>8</v>
      </c>
      <c r="B5" t="s">
        <v>13</v>
      </c>
      <c r="C5" s="7">
        <v>2043</v>
      </c>
      <c r="D5" t="s">
        <v>4</v>
      </c>
      <c r="E5" s="8">
        <v>1</v>
      </c>
      <c r="F5" s="8">
        <v>0</v>
      </c>
      <c r="G5" s="11">
        <v>1</v>
      </c>
      <c r="H5" s="11">
        <v>0</v>
      </c>
      <c r="I5" s="11">
        <v>0</v>
      </c>
      <c r="J5" s="11">
        <v>0</v>
      </c>
      <c r="K5" s="11">
        <v>0</v>
      </c>
      <c r="L5" s="11">
        <v>1</v>
      </c>
      <c r="M5">
        <v>480</v>
      </c>
      <c r="N5">
        <v>180</v>
      </c>
      <c r="O5">
        <v>480</v>
      </c>
      <c r="P5">
        <v>240</v>
      </c>
      <c r="Q5" s="8">
        <f>1-0.0670582476749878</f>
        <v>0.9329417523250122</v>
      </c>
      <c r="R5" s="11">
        <v>0</v>
      </c>
      <c r="S5" s="4">
        <v>2.17</v>
      </c>
      <c r="T5" s="3">
        <v>3.2000000000000001E-2</v>
      </c>
      <c r="U5">
        <v>0</v>
      </c>
      <c r="V5">
        <v>99</v>
      </c>
      <c r="W5">
        <v>60</v>
      </c>
      <c r="X5">
        <v>15</v>
      </c>
      <c r="Y5">
        <v>15</v>
      </c>
      <c r="Z5">
        <v>120</v>
      </c>
      <c r="AA5" s="9">
        <v>7.0199999999999999E-2</v>
      </c>
      <c r="AB5" s="9">
        <v>7.5000000000000002E-4</v>
      </c>
      <c r="AC5" s="10">
        <v>0.1</v>
      </c>
      <c r="AD5" s="10">
        <v>6.7000000000000004E-2</v>
      </c>
      <c r="AE5" s="7">
        <v>1215</v>
      </c>
      <c r="AF5" s="7">
        <v>1156.5999999999999</v>
      </c>
      <c r="AG5" s="7">
        <v>0</v>
      </c>
      <c r="AH5" s="7">
        <v>99999</v>
      </c>
      <c r="AI5" s="7">
        <v>1872</v>
      </c>
      <c r="AJ5" s="7">
        <v>1182</v>
      </c>
      <c r="AK5" s="7">
        <v>0</v>
      </c>
      <c r="AL5" s="7">
        <v>99999</v>
      </c>
    </row>
    <row r="6" spans="1:38" x14ac:dyDescent="0.3">
      <c r="A6" t="s">
        <v>9</v>
      </c>
      <c r="B6" t="s">
        <v>14</v>
      </c>
      <c r="C6" s="7">
        <v>1045</v>
      </c>
      <c r="D6" t="s">
        <v>4</v>
      </c>
      <c r="E6" s="7">
        <v>1</v>
      </c>
      <c r="F6" s="8">
        <v>0</v>
      </c>
      <c r="G6" s="11">
        <v>1</v>
      </c>
      <c r="H6" s="11">
        <v>0</v>
      </c>
      <c r="I6" s="11">
        <v>0.71</v>
      </c>
      <c r="J6" s="11">
        <v>0.38</v>
      </c>
      <c r="K6" s="11">
        <v>0</v>
      </c>
      <c r="L6" s="11">
        <v>1</v>
      </c>
      <c r="M6">
        <v>480</v>
      </c>
      <c r="N6">
        <v>180</v>
      </c>
      <c r="O6">
        <v>480</v>
      </c>
      <c r="P6">
        <v>240</v>
      </c>
      <c r="Q6" s="8">
        <v>3.0000000000000027E-2</v>
      </c>
      <c r="R6" s="11">
        <v>0</v>
      </c>
      <c r="S6" s="4">
        <v>1.885</v>
      </c>
      <c r="T6" s="3">
        <v>2.8000000000000001E-2</v>
      </c>
      <c r="U6">
        <v>0</v>
      </c>
      <c r="V6">
        <v>99</v>
      </c>
      <c r="W6">
        <v>60</v>
      </c>
      <c r="X6">
        <v>15</v>
      </c>
      <c r="Y6">
        <v>15</v>
      </c>
      <c r="Z6">
        <v>120</v>
      </c>
      <c r="AA6" s="9">
        <v>7.9200000000000007E-2</v>
      </c>
      <c r="AB6" s="9">
        <v>4.4999999999999999E-4</v>
      </c>
      <c r="AC6" s="10">
        <v>8.3000000000000004E-2</v>
      </c>
      <c r="AD6" s="10">
        <v>4.2000000000000003E-2</v>
      </c>
      <c r="AE6" s="7">
        <v>1253</v>
      </c>
      <c r="AF6" s="7">
        <v>1155</v>
      </c>
      <c r="AG6" s="7">
        <v>0</v>
      </c>
      <c r="AH6" s="7">
        <v>99999</v>
      </c>
      <c r="AI6" s="7">
        <v>1872</v>
      </c>
      <c r="AJ6" s="7">
        <v>1182</v>
      </c>
      <c r="AK6" s="7">
        <v>0</v>
      </c>
      <c r="AL6" s="7">
        <v>99999</v>
      </c>
    </row>
    <row r="9" spans="1:38" x14ac:dyDescent="0.3">
      <c r="Q9" s="3"/>
    </row>
    <row r="10" spans="1:38" x14ac:dyDescent="0.3">
      <c r="Q10" s="3"/>
      <c r="AJ10" s="2"/>
    </row>
    <row r="11" spans="1:38" x14ac:dyDescent="0.3">
      <c r="Q11" s="3"/>
      <c r="S11" s="1"/>
      <c r="T11" s="1"/>
      <c r="U11" s="1"/>
      <c r="V11" s="1"/>
      <c r="W11" s="1"/>
      <c r="X11" s="1"/>
      <c r="Y11" s="1"/>
      <c r="Z11" s="1"/>
    </row>
    <row r="12" spans="1:38" x14ac:dyDescent="0.3">
      <c r="Q12" s="3"/>
      <c r="S12" s="5"/>
      <c r="T12" s="1"/>
      <c r="U12" s="1"/>
      <c r="V12" s="1"/>
      <c r="W12" s="1"/>
      <c r="X12" s="1"/>
      <c r="Y12" s="1"/>
      <c r="Z12" s="1"/>
    </row>
    <row r="13" spans="1:38" x14ac:dyDescent="0.3">
      <c r="Q13" s="3"/>
      <c r="S13" s="5"/>
      <c r="T13" s="1"/>
      <c r="U13" s="1"/>
      <c r="V13" s="1"/>
      <c r="W13" s="1"/>
      <c r="X13" s="1"/>
      <c r="Y13" s="1"/>
      <c r="Z13" s="1"/>
    </row>
    <row r="14" spans="1:38" x14ac:dyDescent="0.3">
      <c r="Q14" s="3"/>
      <c r="S14" s="1"/>
      <c r="T14" s="1"/>
      <c r="U14" s="1"/>
      <c r="V14" s="1"/>
      <c r="W14" s="1"/>
      <c r="X14" s="1"/>
      <c r="Y14" s="1"/>
      <c r="Z14" s="1"/>
    </row>
    <row r="15" spans="1:38" x14ac:dyDescent="0.3">
      <c r="Q15" s="3"/>
      <c r="S15" s="1"/>
    </row>
    <row r="16" spans="1:38" x14ac:dyDescent="0.3">
      <c r="Q16" s="3"/>
      <c r="S16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2026-01-12T21:29:48Z</dcterms:modified>
</cp:coreProperties>
</file>