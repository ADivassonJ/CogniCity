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Kanaleneiland\archetypes\"/>
    </mc:Choice>
  </mc:AlternateContent>
  <xr:revisionPtr revIDLastSave="0" documentId="13_ncr:1_{BCCCFDE5-B06D-488B-BA26-F86E32B0A0EA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C5" i="1"/>
  <c r="C4" i="1"/>
  <c r="C3" i="1"/>
  <c r="C9" i="1"/>
  <c r="C7" i="1"/>
  <c r="C6" i="1"/>
</calcChain>
</file>

<file path=xl/sharedStrings.xml><?xml version="1.0" encoding="utf-8"?>
<sst xmlns="http://schemas.openxmlformats.org/spreadsheetml/2006/main" count="40" uniqueCount="27">
  <si>
    <t>name</t>
  </si>
  <si>
    <t>presence</t>
  </si>
  <si>
    <t>state</t>
  </si>
  <si>
    <t>description</t>
  </si>
  <si>
    <t>Egemonic family</t>
  </si>
  <si>
    <t>Single parenthood (pather)</t>
  </si>
  <si>
    <t>Single parenthood (mother)</t>
  </si>
  <si>
    <t>Ageing family</t>
  </si>
  <si>
    <t>Large family</t>
  </si>
  <si>
    <t>active</t>
  </si>
  <si>
    <t>DINK</t>
  </si>
  <si>
    <t>Unipersonal home</t>
  </si>
  <si>
    <t>*</t>
  </si>
  <si>
    <t>Polinuclear home (youth)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</si>
  <si>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</si>
  <si>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</si>
  <si>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</si>
  <si>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</si>
  <si>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</si>
  <si>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</si>
  <si>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</si>
  <si>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</si>
  <si>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c_arch_0</t>
  </si>
  <si>
    <t>c_arch_1</t>
  </si>
  <si>
    <t>c_arch_2</t>
  </si>
  <si>
    <t>c_arch_3</t>
  </si>
  <si>
    <t>c_arch_4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</si>
</sst>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31" zoomScaleNormal="131" workbookViewId="0">
      <selection activeCell="C6" sqref="C6"/>
    </sheetView>
  </sheetViews>
  <sheetFormatPr baseColWidth="10" defaultColWidth="8.88671875" defaultRowHeight="14.4" x14ac:dyDescent="0.3"/>
  <cols>
    <col min="1" max="1" width="13.21875" bestFit="1" customWidth="1"/>
    <col min="2" max="2" width="25.21875" bestFit="1" customWidth="1"/>
    <col min="5" max="8" width="13.44140625" style="1" bestFit="1" customWidth="1"/>
    <col min="9" max="9" width="15.6640625" style="1" bestFit="1" customWidth="1"/>
    <col min="10" max="11" width="15.109375" bestFit="1" customWidth="1"/>
    <col min="12" max="13" width="13.44140625" bestFit="1" customWidth="1"/>
    <col min="14" max="17" width="14.44140625" bestFit="1" customWidth="1"/>
  </cols>
  <sheetData>
    <row r="1" spans="1:9" x14ac:dyDescent="0.3">
      <c r="A1" t="s">
        <v>0</v>
      </c>
      <c r="B1" t="s">
        <v>3</v>
      </c>
      <c r="C1" t="s">
        <v>1</v>
      </c>
      <c r="D1" t="s">
        <v>2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3">
      <c r="A2" t="s">
        <v>14</v>
      </c>
      <c r="B2" t="s">
        <v>11</v>
      </c>
      <c r="C2" s="2">
        <v>4755</v>
      </c>
      <c r="D2" t="s">
        <v>9</v>
      </c>
      <c r="E2" s="1" t="s">
        <v>12</v>
      </c>
      <c r="F2" s="1" t="s">
        <v>12</v>
      </c>
      <c r="H2" s="1" t="s">
        <v>12</v>
      </c>
      <c r="I2" s="1" t="s">
        <v>12</v>
      </c>
    </row>
    <row r="3" spans="1:9" x14ac:dyDescent="0.3">
      <c r="A3" t="s">
        <v>15</v>
      </c>
      <c r="B3" t="s">
        <v>4</v>
      </c>
      <c r="C3" s="2">
        <f>2315*(18175/(18175+14270))*(684844/(684844+291411))</f>
        <v>909.71639235852888</v>
      </c>
      <c r="D3" t="s">
        <v>9</v>
      </c>
      <c r="E3" s="1">
        <v>1</v>
      </c>
      <c r="F3" s="1">
        <v>1</v>
      </c>
      <c r="G3" s="1">
        <v>2</v>
      </c>
    </row>
    <row r="4" spans="1:9" x14ac:dyDescent="0.3">
      <c r="A4" t="s">
        <v>16</v>
      </c>
      <c r="B4" t="s">
        <v>5</v>
      </c>
      <c r="C4" s="2">
        <f>2315*(14270/(18175+14270))*0.5</f>
        <v>509.093080597935</v>
      </c>
      <c r="D4" t="s">
        <v>9</v>
      </c>
      <c r="E4" s="1">
        <v>1</v>
      </c>
      <c r="G4" s="1">
        <v>2</v>
      </c>
    </row>
    <row r="5" spans="1:9" x14ac:dyDescent="0.3">
      <c r="A5" t="s">
        <v>17</v>
      </c>
      <c r="B5" t="s">
        <v>6</v>
      </c>
      <c r="C5" s="2">
        <f>2315*(14270/(18175+14270))*0.5</f>
        <v>509.093080597935</v>
      </c>
      <c r="D5" t="s">
        <v>9</v>
      </c>
      <c r="F5" s="1">
        <v>1</v>
      </c>
      <c r="G5" s="1">
        <v>2</v>
      </c>
    </row>
    <row r="6" spans="1:9" x14ac:dyDescent="0.3">
      <c r="A6" t="s">
        <v>18</v>
      </c>
      <c r="B6" t="s">
        <v>13</v>
      </c>
      <c r="C6" s="2">
        <f>1795*(1740/(52620+1740))</f>
        <v>57.455849889624716</v>
      </c>
      <c r="D6" t="s">
        <v>9</v>
      </c>
      <c r="I6" s="1" t="s">
        <v>12</v>
      </c>
    </row>
    <row r="7" spans="1:9" x14ac:dyDescent="0.3">
      <c r="A7" t="s">
        <v>19</v>
      </c>
      <c r="B7" t="s">
        <v>7</v>
      </c>
      <c r="C7" s="2">
        <f>1795*(52620/(52620+1740))*(88115/209920)</f>
        <v>729.34309635563875</v>
      </c>
      <c r="D7" t="s">
        <v>9</v>
      </c>
      <c r="H7" s="1" t="s">
        <v>12</v>
      </c>
    </row>
    <row r="8" spans="1:9" x14ac:dyDescent="0.3">
      <c r="A8" t="s">
        <v>20</v>
      </c>
      <c r="B8" t="s">
        <v>8</v>
      </c>
      <c r="C8" s="2">
        <f>2315*(18175/(18175+14270))*((291411/(684844+291411)))</f>
        <v>387.09744644560118</v>
      </c>
      <c r="D8" t="s">
        <v>9</v>
      </c>
      <c r="E8" s="1">
        <v>1</v>
      </c>
      <c r="F8" s="1">
        <v>1</v>
      </c>
      <c r="G8" s="1" t="s">
        <v>12</v>
      </c>
    </row>
    <row r="9" spans="1:9" x14ac:dyDescent="0.3">
      <c r="A9" t="s">
        <v>21</v>
      </c>
      <c r="B9" t="s">
        <v>10</v>
      </c>
      <c r="C9" s="2">
        <f>1795*(52620/(52620+1740))*(1-(88115/209920))</f>
        <v>1008.2010537547363</v>
      </c>
      <c r="D9" t="s">
        <v>9</v>
      </c>
      <c r="E9" s="1">
        <v>1</v>
      </c>
      <c r="F9" s="1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2026-09-15T07:00:11Z</dcterms:modified>
</cp:coreProperties>
</file>