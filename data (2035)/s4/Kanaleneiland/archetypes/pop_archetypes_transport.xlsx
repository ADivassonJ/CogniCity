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4\Kanaleneiland\archetypes\"/>
    </mc:Choice>
  </mc:AlternateContent>
  <xr:revisionPtr revIDLastSave="0" documentId="13_ncr:1_{27A8C025-CB43-4310-B367-1B9D386411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" i="1" l="1"/>
  <c r="V7" i="1"/>
  <c r="P8" i="1"/>
  <c r="T8" i="1" s="1"/>
  <c r="P7" i="1"/>
  <c r="O8" i="1"/>
  <c r="S8" i="1" s="1"/>
  <c r="O7" i="1"/>
  <c r="K8" i="1"/>
  <c r="K9" i="1"/>
  <c r="K7" i="1"/>
  <c r="M9" i="1"/>
  <c r="M7" i="1"/>
  <c r="N9" i="1"/>
  <c r="N7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<sst xmlns="http://schemas.openxmlformats.org/spreadsheetml/2006/main" count="78" uniqueCount="43">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</sst>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zoomScale="170" zoomScaleNormal="170" workbookViewId="0">
      <selection activeCell="K10" sqref="K10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s="1" t="s">
        <v>20</v>
      </c>
      <c r="P1" s="1" t="s">
        <v>21</v>
      </c>
      <c r="Q1" s="1" t="s">
        <v>38</v>
      </c>
      <c r="R1" s="1" t="s">
        <v>39</v>
      </c>
      <c r="S1" t="s">
        <v>4</v>
      </c>
      <c r="T1" t="s">
        <v>5</v>
      </c>
      <c r="U1" s="1" t="s">
        <v>22</v>
      </c>
      <c r="V1" s="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>
        <v>0</v>
      </c>
      <c r="T2">
        <v>0</v>
      </c>
      <c r="U2" s="1">
        <v>0</v>
      </c>
      <c r="V2" s="1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 s="1">
        <v>3.6999999999999998E-2</v>
      </c>
      <c r="L3">
        <v>1.0000000000000001E-5</v>
      </c>
      <c r="M3">
        <v>62.984000000000002</v>
      </c>
      <c r="N3">
        <v>2.94</v>
      </c>
      <c r="O3" s="1">
        <v>2.6709999999999998</v>
      </c>
      <c r="P3" s="1">
        <v>0.13800000000000001</v>
      </c>
      <c r="Q3" s="1">
        <v>9999</v>
      </c>
      <c r="R3" s="1">
        <v>0</v>
      </c>
      <c r="S3">
        <v>0</v>
      </c>
      <c r="T3">
        <v>0</v>
      </c>
      <c r="U3" s="1">
        <v>177.70699999999999</v>
      </c>
      <c r="V3" s="1">
        <v>14.922000000000001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 s="1">
        <v>7.6300000000000007E-2</v>
      </c>
      <c r="L4">
        <v>1.0000000000000001E-5</v>
      </c>
      <c r="M4">
        <v>0</v>
      </c>
      <c r="N4">
        <v>0</v>
      </c>
      <c r="O4" s="1">
        <v>0.83899999999999997</v>
      </c>
      <c r="P4" s="1">
        <v>5.6000000000000001E-2</v>
      </c>
      <c r="Q4" s="1">
        <v>9999</v>
      </c>
      <c r="R4" s="1">
        <v>0</v>
      </c>
      <c r="S4">
        <f>O4*0.5</f>
        <v>0.41949999999999998</v>
      </c>
      <c r="T4">
        <f>P4*0.5</f>
        <v>2.8000000000000001E-2</v>
      </c>
      <c r="U4" s="1">
        <v>0</v>
      </c>
      <c r="V4" s="1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 s="1">
        <v>3.6999999999999998E-2</v>
      </c>
      <c r="L5">
        <v>1.0000000000000001E-5</v>
      </c>
      <c r="M5">
        <v>53.112000000000002</v>
      </c>
      <c r="N5">
        <v>3.9049999999999998</v>
      </c>
      <c r="O5" s="1">
        <v>2.1800000000000002</v>
      </c>
      <c r="P5" s="1">
        <v>0.17799999999999999</v>
      </c>
      <c r="Q5" s="1">
        <v>9999</v>
      </c>
      <c r="R5" s="1">
        <v>0</v>
      </c>
      <c r="S5">
        <v>0</v>
      </c>
      <c r="T5">
        <v>0</v>
      </c>
      <c r="U5" s="1">
        <v>146.732</v>
      </c>
      <c r="V5" s="1">
        <v>20.474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0.05</v>
      </c>
      <c r="L6">
        <v>1.0000000000000001E-5</v>
      </c>
      <c r="M6">
        <v>43.322000000000003</v>
      </c>
      <c r="N6">
        <v>2.206</v>
      </c>
      <c r="O6" s="1">
        <v>1.9750000000000001</v>
      </c>
      <c r="P6" s="1">
        <v>0.20399999999999999</v>
      </c>
      <c r="Q6" s="1">
        <v>9999</v>
      </c>
      <c r="R6" s="1">
        <v>0</v>
      </c>
      <c r="S6">
        <v>0</v>
      </c>
      <c r="T6">
        <v>0</v>
      </c>
      <c r="U6" s="1">
        <v>37.835000000000001</v>
      </c>
      <c r="V6" s="1">
        <v>60.267000000000003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 s="1">
        <f>20/21*0</f>
        <v>0</v>
      </c>
      <c r="L7">
        <v>1.0000000000000001E-5</v>
      </c>
      <c r="M7">
        <f>293.323/30</f>
        <v>9.7774333333333328</v>
      </c>
      <c r="N7">
        <f>38.284/30</f>
        <v>1.2761333333333333</v>
      </c>
      <c r="O7" s="2">
        <f>12.372/45</f>
        <v>0.27493333333333331</v>
      </c>
      <c r="P7" s="2">
        <f>1.668/45</f>
        <v>3.7066666666666664E-2</v>
      </c>
      <c r="Q7" s="1">
        <v>9999</v>
      </c>
      <c r="R7" s="1">
        <v>0</v>
      </c>
      <c r="S7">
        <v>0</v>
      </c>
      <c r="T7">
        <v>0</v>
      </c>
      <c r="U7" s="2">
        <f>740.509/45</f>
        <v>16.455755555555555</v>
      </c>
      <c r="V7" s="2">
        <f>271.113/45</f>
        <v>6.0247333333333337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 s="1">
        <f t="shared" ref="K8:K9" si="0">20/21*0</f>
        <v>0</v>
      </c>
      <c r="L8">
        <v>1.0000000000000001E-5</v>
      </c>
      <c r="M8">
        <v>0</v>
      </c>
      <c r="N8">
        <v>0</v>
      </c>
      <c r="O8" s="2">
        <f>5.542/45</f>
        <v>0.12315555555555555</v>
      </c>
      <c r="P8" s="2">
        <f>1.704/45</f>
        <v>3.7866666666666667E-2</v>
      </c>
      <c r="Q8" s="1">
        <v>9999</v>
      </c>
      <c r="R8" s="1">
        <v>0</v>
      </c>
      <c r="S8">
        <f>O8*0.5</f>
        <v>6.1577777777777773E-2</v>
      </c>
      <c r="T8">
        <f>P8*0.5</f>
        <v>1.8933333333333333E-2</v>
      </c>
      <c r="U8" s="2">
        <v>0</v>
      </c>
      <c r="V8" s="2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 s="1">
        <f t="shared" si="0"/>
        <v>0</v>
      </c>
      <c r="L9">
        <v>1.0000000000000001E-5</v>
      </c>
      <c r="M9">
        <f>357.554/30</f>
        <v>11.918466666666665</v>
      </c>
      <c r="N9">
        <f>68.396/30</f>
        <v>2.2798666666666665</v>
      </c>
      <c r="O9" s="1">
        <v>16.117999999999999</v>
      </c>
      <c r="P9" s="1">
        <v>2.637</v>
      </c>
      <c r="Q9" s="1">
        <v>9999</v>
      </c>
      <c r="R9" s="1">
        <v>0</v>
      </c>
      <c r="S9">
        <v>0</v>
      </c>
      <c r="T9">
        <v>0</v>
      </c>
      <c r="U9" s="1">
        <v>411.62700000000001</v>
      </c>
      <c r="V9" s="1">
        <v>386.86799999999999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3">
        <v>0.34335367396867361</v>
      </c>
      <c r="L10">
        <v>1.0000000000000001E-5</v>
      </c>
      <c r="M10">
        <v>0</v>
      </c>
      <c r="N10">
        <v>0</v>
      </c>
      <c r="O10" s="1">
        <v>0.83899999999999997</v>
      </c>
      <c r="P10" s="1">
        <v>5.6000000000000001E-2</v>
      </c>
      <c r="Q10" s="1">
        <v>9999</v>
      </c>
      <c r="R10" s="1">
        <v>0</v>
      </c>
      <c r="S10">
        <v>0.41949999999999998</v>
      </c>
      <c r="T10">
        <v>2.8000000000000001E-2</v>
      </c>
      <c r="U10" s="1">
        <v>0</v>
      </c>
      <c r="V10" s="1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2026-03-23T17:34:31Z</dcterms:modified>
</cp:coreProperties>
</file>